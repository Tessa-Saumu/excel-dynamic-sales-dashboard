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ingex\Downloads\WTF\Activities and Assignment\My Own Work\"/>
    </mc:Choice>
  </mc:AlternateContent>
  <xr:revisionPtr revIDLastSave="0" documentId="13_ncr:1_{8F02DA91-921D-4CD2-BFF8-0C9CFA535B27}" xr6:coauthVersionLast="47" xr6:coauthVersionMax="47" xr10:uidLastSave="{00000000-0000-0000-0000-000000000000}"/>
  <bookViews>
    <workbookView xWindow="-108" yWindow="-108" windowWidth="23256" windowHeight="12456" activeTab="1" xr2:uid="{78B75D86-16EE-464A-BAD7-17FC1372381F}"/>
  </bookViews>
  <sheets>
    <sheet name="Data" sheetId="1" r:id="rId1"/>
    <sheet name="Dashboard" sheetId="2" r:id="rId2"/>
  </sheets>
  <definedNames>
    <definedName name="_xlcn.WorksheetConnection_Book1Table11" hidden="1">Table1[]</definedName>
    <definedName name="Table_Products">Table2[]</definedName>
    <definedName name="Table_Sales">Table1[]</definedName>
    <definedName name="Table_Sales_Rep">Table3[]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" name="Table1" connection="WorksheetConnection_Book1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1" l="1"/>
  <c r="J3" i="1"/>
  <c r="J4" i="1"/>
  <c r="J5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AB1" i="2" a="1"/>
  <c r="AB1" i="2" s="1"/>
  <c r="F53" i="1"/>
  <c r="F54" i="1"/>
  <c r="F55" i="1"/>
  <c r="F56" i="1"/>
  <c r="G56" i="1" s="1"/>
  <c r="I56" i="1" s="1"/>
  <c r="F57" i="1"/>
  <c r="G57" i="1" s="1"/>
  <c r="F58" i="1"/>
  <c r="G58" i="1" s="1"/>
  <c r="F59" i="1"/>
  <c r="G59" i="1" s="1"/>
  <c r="F60" i="1"/>
  <c r="F61" i="1"/>
  <c r="F62" i="1"/>
  <c r="G62" i="1" s="1"/>
  <c r="I62" i="1" s="1"/>
  <c r="F63" i="1"/>
  <c r="G63" i="1" s="1"/>
  <c r="I63" i="1" s="1"/>
  <c r="F64" i="1"/>
  <c r="G64" i="1" s="1"/>
  <c r="F65" i="1"/>
  <c r="G65" i="1" s="1"/>
  <c r="I65" i="1" s="1"/>
  <c r="F66" i="1"/>
  <c r="G66" i="1" s="1"/>
  <c r="F67" i="1"/>
  <c r="G67" i="1" s="1"/>
  <c r="F68" i="1"/>
  <c r="G68" i="1" s="1"/>
  <c r="F69" i="1"/>
  <c r="G69" i="1" s="1"/>
  <c r="F70" i="1"/>
  <c r="G70" i="1" s="1"/>
  <c r="F71" i="1"/>
  <c r="G71" i="1" s="1"/>
  <c r="F72" i="1"/>
  <c r="G72" i="1" s="1"/>
  <c r="F73" i="1"/>
  <c r="G73" i="1" s="1"/>
  <c r="I73" i="1" s="1"/>
  <c r="F74" i="1"/>
  <c r="G74" i="1" s="1"/>
  <c r="I74" i="1" s="1"/>
  <c r="F75" i="1"/>
  <c r="G75" i="1" s="1"/>
  <c r="I75" i="1" s="1"/>
  <c r="F76" i="1"/>
  <c r="G76" i="1" s="1"/>
  <c r="F77" i="1"/>
  <c r="G77" i="1" s="1"/>
  <c r="H77" i="1" s="1" a="1"/>
  <c r="H77" i="1" s="1"/>
  <c r="F78" i="1"/>
  <c r="G78" i="1" s="1"/>
  <c r="I78" i="1" s="1"/>
  <c r="F79" i="1"/>
  <c r="G79" i="1" s="1"/>
  <c r="F80" i="1"/>
  <c r="G80" i="1" s="1"/>
  <c r="F81" i="1"/>
  <c r="G81" i="1" s="1"/>
  <c r="F82" i="1"/>
  <c r="G82" i="1" s="1"/>
  <c r="F83" i="1"/>
  <c r="G83" i="1" s="1"/>
  <c r="F84" i="1"/>
  <c r="G84" i="1" s="1"/>
  <c r="F85" i="1"/>
  <c r="G85" i="1" s="1"/>
  <c r="F86" i="1"/>
  <c r="G86" i="1" s="1"/>
  <c r="F87" i="1"/>
  <c r="G87" i="1" s="1"/>
  <c r="I87" i="1" s="1"/>
  <c r="F88" i="1"/>
  <c r="G88" i="1" s="1"/>
  <c r="F89" i="1"/>
  <c r="G89" i="1" s="1"/>
  <c r="H89" i="1" s="1" a="1"/>
  <c r="H89" i="1" s="1"/>
  <c r="F90" i="1"/>
  <c r="G90" i="1" s="1"/>
  <c r="F91" i="1"/>
  <c r="G91" i="1" s="1"/>
  <c r="F92" i="1"/>
  <c r="G92" i="1" s="1"/>
  <c r="F93" i="1"/>
  <c r="G93" i="1" s="1"/>
  <c r="F94" i="1"/>
  <c r="G94" i="1" s="1"/>
  <c r="F95" i="1"/>
  <c r="G95" i="1" s="1"/>
  <c r="F96" i="1"/>
  <c r="G96" i="1" s="1"/>
  <c r="F97" i="1"/>
  <c r="G97" i="1" s="1"/>
  <c r="I97" i="1" s="1"/>
  <c r="F98" i="1"/>
  <c r="G98" i="1" s="1"/>
  <c r="I98" i="1" s="1"/>
  <c r="F99" i="1"/>
  <c r="G99" i="1" s="1"/>
  <c r="I99" i="1" s="1"/>
  <c r="F100" i="1"/>
  <c r="G100" i="1" s="1"/>
  <c r="F101" i="1"/>
  <c r="G101" i="1" s="1"/>
  <c r="F102" i="1"/>
  <c r="G102" i="1" s="1"/>
  <c r="I102" i="1" s="1"/>
  <c r="F103" i="1"/>
  <c r="G103" i="1" s="1"/>
  <c r="I103" i="1" s="1"/>
  <c r="F104" i="1"/>
  <c r="G104" i="1" s="1"/>
  <c r="F105" i="1"/>
  <c r="G105" i="1" s="1"/>
  <c r="F106" i="1"/>
  <c r="G106" i="1" s="1"/>
  <c r="F107" i="1"/>
  <c r="G107" i="1" s="1"/>
  <c r="F108" i="1"/>
  <c r="G108" i="1" s="1"/>
  <c r="F109" i="1"/>
  <c r="G109" i="1" s="1"/>
  <c r="I109" i="1" s="1"/>
  <c r="F110" i="1"/>
  <c r="G110" i="1" s="1"/>
  <c r="I110" i="1" s="1"/>
  <c r="F111" i="1"/>
  <c r="G111" i="1" s="1"/>
  <c r="I111" i="1" s="1"/>
  <c r="F112" i="1"/>
  <c r="G112" i="1" s="1"/>
  <c r="F113" i="1"/>
  <c r="F114" i="1"/>
  <c r="G114" i="1" s="1"/>
  <c r="F115" i="1"/>
  <c r="G115" i="1" s="1"/>
  <c r="H115" i="1" s="1" a="1"/>
  <c r="H115" i="1" s="1"/>
  <c r="F116" i="1"/>
  <c r="G116" i="1" s="1"/>
  <c r="F117" i="1"/>
  <c r="G117" i="1" s="1"/>
  <c r="F118" i="1"/>
  <c r="G118" i="1" s="1"/>
  <c r="F119" i="1"/>
  <c r="G119" i="1" s="1"/>
  <c r="F120" i="1"/>
  <c r="G120" i="1" s="1"/>
  <c r="F121" i="1"/>
  <c r="G121" i="1" s="1"/>
  <c r="F122" i="1"/>
  <c r="G122" i="1" s="1"/>
  <c r="I122" i="1" s="1"/>
  <c r="F123" i="1"/>
  <c r="G123" i="1" s="1"/>
  <c r="I123" i="1" s="1"/>
  <c r="F124" i="1"/>
  <c r="G124" i="1" s="1"/>
  <c r="F125" i="1"/>
  <c r="G125" i="1" s="1"/>
  <c r="H125" i="1" s="1" a="1"/>
  <c r="H125" i="1" s="1"/>
  <c r="F126" i="1"/>
  <c r="G126" i="1" s="1"/>
  <c r="I126" i="1" s="1"/>
  <c r="F127" i="1"/>
  <c r="G127" i="1" s="1"/>
  <c r="I127" i="1" s="1"/>
  <c r="F128" i="1"/>
  <c r="G128" i="1" s="1"/>
  <c r="F129" i="1"/>
  <c r="G129" i="1" s="1"/>
  <c r="F130" i="1"/>
  <c r="G130" i="1" s="1"/>
  <c r="F131" i="1"/>
  <c r="G131" i="1" s="1"/>
  <c r="F132" i="1"/>
  <c r="G132" i="1" s="1"/>
  <c r="F133" i="1"/>
  <c r="G133" i="1" s="1"/>
  <c r="I133" i="1" s="1"/>
  <c r="F134" i="1"/>
  <c r="G134" i="1" s="1"/>
  <c r="I134" i="1" s="1"/>
  <c r="F135" i="1"/>
  <c r="G135" i="1" s="1"/>
  <c r="I135" i="1" s="1"/>
  <c r="F136" i="1"/>
  <c r="G136" i="1" s="1"/>
  <c r="F137" i="1"/>
  <c r="F138" i="1"/>
  <c r="G138" i="1" s="1"/>
  <c r="F139" i="1"/>
  <c r="G139" i="1" s="1"/>
  <c r="H139" i="1" s="1" a="1"/>
  <c r="H139" i="1" s="1"/>
  <c r="F140" i="1"/>
  <c r="G140" i="1" s="1"/>
  <c r="F141" i="1"/>
  <c r="G141" i="1" s="1"/>
  <c r="F142" i="1"/>
  <c r="G142" i="1" s="1"/>
  <c r="F143" i="1"/>
  <c r="G143" i="1" s="1"/>
  <c r="F144" i="1"/>
  <c r="G144" i="1" s="1"/>
  <c r="F145" i="1"/>
  <c r="G145" i="1" s="1"/>
  <c r="I145" i="1" s="1"/>
  <c r="F146" i="1"/>
  <c r="G146" i="1" s="1"/>
  <c r="I146" i="1" s="1"/>
  <c r="F147" i="1"/>
  <c r="G147" i="1" s="1"/>
  <c r="I147" i="1" s="1"/>
  <c r="F148" i="1"/>
  <c r="G148" i="1" s="1"/>
  <c r="F149" i="1"/>
  <c r="G149" i="1" s="1"/>
  <c r="H149" i="1" s="1" a="1"/>
  <c r="H149" i="1" s="1"/>
  <c r="F150" i="1"/>
  <c r="G150" i="1" s="1"/>
  <c r="I150" i="1" s="1"/>
  <c r="F151" i="1"/>
  <c r="G151" i="1" s="1"/>
  <c r="F152" i="1"/>
  <c r="G152" i="1" s="1"/>
  <c r="F153" i="1"/>
  <c r="G153" i="1" s="1"/>
  <c r="I153" i="1" s="1"/>
  <c r="F154" i="1"/>
  <c r="G154" i="1" s="1"/>
  <c r="F155" i="1"/>
  <c r="G155" i="1" s="1"/>
  <c r="F156" i="1"/>
  <c r="G156" i="1" s="1"/>
  <c r="F157" i="1"/>
  <c r="G157" i="1" s="1"/>
  <c r="F158" i="1"/>
  <c r="G158" i="1" s="1"/>
  <c r="I158" i="1" s="1"/>
  <c r="F159" i="1"/>
  <c r="G159" i="1" s="1"/>
  <c r="I159" i="1" s="1"/>
  <c r="F160" i="1"/>
  <c r="G160" i="1" s="1"/>
  <c r="F161" i="1"/>
  <c r="G161" i="1" s="1"/>
  <c r="F162" i="1"/>
  <c r="G162" i="1" s="1"/>
  <c r="H162" i="1" s="1" a="1"/>
  <c r="H162" i="1" s="1"/>
  <c r="F163" i="1"/>
  <c r="G163" i="1" s="1"/>
  <c r="H163" i="1" s="1" a="1"/>
  <c r="H163" i="1" s="1"/>
  <c r="F164" i="1"/>
  <c r="G164" i="1" s="1"/>
  <c r="F165" i="1"/>
  <c r="G165" i="1" s="1"/>
  <c r="I165" i="1" s="1"/>
  <c r="F166" i="1"/>
  <c r="G166" i="1" s="1"/>
  <c r="H166" i="1" s="1" a="1"/>
  <c r="H166" i="1" s="1"/>
  <c r="F167" i="1"/>
  <c r="G167" i="1" s="1"/>
  <c r="F168" i="1"/>
  <c r="G168" i="1" s="1"/>
  <c r="F169" i="1"/>
  <c r="G169" i="1" s="1"/>
  <c r="I169" i="1" s="1"/>
  <c r="F170" i="1"/>
  <c r="G170" i="1" s="1"/>
  <c r="I170" i="1" s="1"/>
  <c r="F171" i="1"/>
  <c r="G171" i="1" s="1"/>
  <c r="I171" i="1" s="1"/>
  <c r="F172" i="1"/>
  <c r="G172" i="1" s="1"/>
  <c r="F173" i="1"/>
  <c r="G173" i="1" s="1"/>
  <c r="H173" i="1" s="1" a="1"/>
  <c r="H173" i="1" s="1"/>
  <c r="F174" i="1"/>
  <c r="G174" i="1" s="1"/>
  <c r="I174" i="1" s="1"/>
  <c r="F175" i="1"/>
  <c r="G175" i="1" s="1"/>
  <c r="F176" i="1"/>
  <c r="G176" i="1" s="1"/>
  <c r="F177" i="1"/>
  <c r="G177" i="1" s="1"/>
  <c r="I177" i="1" s="1"/>
  <c r="F178" i="1"/>
  <c r="G178" i="1" s="1"/>
  <c r="H178" i="1" s="1" a="1"/>
  <c r="H178" i="1" s="1"/>
  <c r="F179" i="1"/>
  <c r="G179" i="1" s="1"/>
  <c r="F180" i="1"/>
  <c r="G180" i="1" s="1"/>
  <c r="F181" i="1"/>
  <c r="G181" i="1" s="1"/>
  <c r="I181" i="1" s="1"/>
  <c r="F182" i="1"/>
  <c r="G182" i="1" s="1"/>
  <c r="I182" i="1" s="1"/>
  <c r="F183" i="1"/>
  <c r="G183" i="1" s="1"/>
  <c r="I183" i="1" s="1"/>
  <c r="F184" i="1"/>
  <c r="G184" i="1" s="1"/>
  <c r="F185" i="1"/>
  <c r="G185" i="1" s="1"/>
  <c r="G53" i="1"/>
  <c r="I53" i="1" s="1"/>
  <c r="G54" i="1"/>
  <c r="I54" i="1" s="1"/>
  <c r="G55" i="1"/>
  <c r="I55" i="1" s="1"/>
  <c r="G60" i="1"/>
  <c r="G61" i="1"/>
  <c r="I61" i="1" s="1"/>
  <c r="G113" i="1"/>
  <c r="H113" i="1" s="1" a="1"/>
  <c r="H113" i="1" s="1"/>
  <c r="G137" i="1"/>
  <c r="H137" i="1" s="1" a="1"/>
  <c r="H137" i="1" s="1"/>
  <c r="G186" i="1"/>
  <c r="H186" i="1" s="1" a="1"/>
  <c r="H186" i="1" s="1"/>
  <c r="I137" i="1"/>
  <c r="I186" i="1"/>
  <c r="F3" i="1"/>
  <c r="G3" i="1" s="1"/>
  <c r="F4" i="1"/>
  <c r="G4" i="1" s="1"/>
  <c r="F5" i="1"/>
  <c r="G5" i="1" s="1"/>
  <c r="H5" i="1" s="1" a="1"/>
  <c r="H5" i="1" s="1"/>
  <c r="F6" i="1"/>
  <c r="G6" i="1" s="1"/>
  <c r="H6" i="1" s="1" a="1"/>
  <c r="H6" i="1" s="1"/>
  <c r="F7" i="1"/>
  <c r="G7" i="1" s="1"/>
  <c r="I7" i="1" s="1"/>
  <c r="F8" i="1"/>
  <c r="G8" i="1" s="1"/>
  <c r="H8" i="1" s="1" a="1"/>
  <c r="H8" i="1" s="1"/>
  <c r="F9" i="1"/>
  <c r="G9" i="1" s="1"/>
  <c r="F10" i="1"/>
  <c r="G10" i="1" s="1"/>
  <c r="F11" i="1"/>
  <c r="G11" i="1" s="1"/>
  <c r="F12" i="1"/>
  <c r="G12" i="1" s="1"/>
  <c r="I12" i="1" s="1"/>
  <c r="F13" i="1"/>
  <c r="G13" i="1" s="1"/>
  <c r="F14" i="1"/>
  <c r="G14" i="1" s="1"/>
  <c r="F15" i="1"/>
  <c r="G15" i="1" s="1"/>
  <c r="H15" i="1" s="1" a="1"/>
  <c r="H15" i="1" s="1"/>
  <c r="F16" i="1"/>
  <c r="G16" i="1" s="1"/>
  <c r="F17" i="1"/>
  <c r="G17" i="1" s="1"/>
  <c r="H17" i="1" s="1" a="1"/>
  <c r="H17" i="1" s="1"/>
  <c r="F18" i="1"/>
  <c r="G18" i="1" s="1"/>
  <c r="F19" i="1"/>
  <c r="G19" i="1" s="1"/>
  <c r="F20" i="1"/>
  <c r="G20" i="1" s="1"/>
  <c r="I20" i="1" s="1"/>
  <c r="F21" i="1"/>
  <c r="G21" i="1" s="1"/>
  <c r="I21" i="1" s="1"/>
  <c r="F22" i="1"/>
  <c r="G22" i="1" s="1"/>
  <c r="F23" i="1"/>
  <c r="G23" i="1" s="1"/>
  <c r="H23" i="1" s="1" a="1"/>
  <c r="H23" i="1" s="1"/>
  <c r="F24" i="1"/>
  <c r="G24" i="1" s="1"/>
  <c r="F25" i="1"/>
  <c r="G25" i="1" s="1"/>
  <c r="H25" i="1" s="1" a="1"/>
  <c r="H25" i="1" s="1"/>
  <c r="F26" i="1"/>
  <c r="G26" i="1" s="1"/>
  <c r="I26" i="1" s="1"/>
  <c r="F27" i="1"/>
  <c r="G27" i="1"/>
  <c r="I27" i="1" s="1"/>
  <c r="F28" i="1"/>
  <c r="G28" i="1" s="1"/>
  <c r="I28" i="1" s="1"/>
  <c r="F29" i="1"/>
  <c r="G29" i="1" s="1"/>
  <c r="H29" i="1" s="1" a="1"/>
  <c r="H29" i="1" s="1"/>
  <c r="F30" i="1"/>
  <c r="G30" i="1" s="1"/>
  <c r="F31" i="1"/>
  <c r="G31" i="1"/>
  <c r="I31" i="1" s="1"/>
  <c r="F32" i="1"/>
  <c r="G32" i="1" s="1"/>
  <c r="F33" i="1"/>
  <c r="G33" i="1" s="1"/>
  <c r="H33" i="1" s="1" a="1"/>
  <c r="H33" i="1" s="1"/>
  <c r="F34" i="1"/>
  <c r="G34" i="1" s="1"/>
  <c r="F35" i="1"/>
  <c r="G35" i="1" s="1"/>
  <c r="F36" i="1"/>
  <c r="G36" i="1" s="1"/>
  <c r="F37" i="1"/>
  <c r="G37" i="1" s="1"/>
  <c r="H37" i="1" s="1" a="1"/>
  <c r="H37" i="1" s="1"/>
  <c r="F38" i="1"/>
  <c r="G38" i="1" s="1"/>
  <c r="I38" i="1" s="1"/>
  <c r="F39" i="1"/>
  <c r="G39" i="1" s="1"/>
  <c r="H39" i="1" s="1" a="1"/>
  <c r="H39" i="1" s="1"/>
  <c r="F40" i="1"/>
  <c r="G40" i="1" s="1"/>
  <c r="I40" i="1" s="1"/>
  <c r="F41" i="1"/>
  <c r="G41" i="1"/>
  <c r="H41" i="1" s="1" a="1"/>
  <c r="H41" i="1" s="1"/>
  <c r="F42" i="1"/>
  <c r="G42" i="1" s="1"/>
  <c r="H42" i="1" s="1" a="1"/>
  <c r="H42" i="1" s="1"/>
  <c r="F43" i="1"/>
  <c r="G43" i="1" s="1"/>
  <c r="F44" i="1"/>
  <c r="G44" i="1" s="1"/>
  <c r="H44" i="1" s="1" a="1"/>
  <c r="H44" i="1" s="1"/>
  <c r="F45" i="1"/>
  <c r="G45" i="1" s="1"/>
  <c r="F46" i="1"/>
  <c r="G46" i="1" s="1"/>
  <c r="F47" i="1"/>
  <c r="G47" i="1" s="1"/>
  <c r="F48" i="1"/>
  <c r="G48" i="1" s="1"/>
  <c r="F49" i="1"/>
  <c r="G49" i="1" s="1"/>
  <c r="I49" i="1" s="1"/>
  <c r="F50" i="1"/>
  <c r="G50" i="1" s="1"/>
  <c r="F51" i="1"/>
  <c r="G51" i="1" s="1"/>
  <c r="F52" i="1"/>
  <c r="G52" i="1" s="1"/>
  <c r="I52" i="1" s="1"/>
  <c r="A5" i="2"/>
  <c r="B7" i="2" a="1"/>
  <c r="B7" i="2" s="1"/>
  <c r="C3" i="2"/>
  <c r="H114" i="1" l="1" a="1"/>
  <c r="H114" i="1" s="1"/>
  <c r="I114" i="1"/>
  <c r="D7" i="2" a="1"/>
  <c r="D7" i="2" s="1"/>
  <c r="H51" i="1" a="1"/>
  <c r="H51" i="1" s="1"/>
  <c r="I51" i="1"/>
  <c r="I113" i="1"/>
  <c r="H101" i="1" a="1"/>
  <c r="H101" i="1" s="1"/>
  <c r="I101" i="1"/>
  <c r="H65" i="1" a="1"/>
  <c r="H65" i="1" s="1"/>
  <c r="H70" i="1" a="1"/>
  <c r="H70" i="1" s="1"/>
  <c r="I70" i="1"/>
  <c r="H69" i="1" a="1"/>
  <c r="H69" i="1" s="1"/>
  <c r="I69" i="1"/>
  <c r="I18" i="1"/>
  <c r="H18" i="1" a="1"/>
  <c r="H18" i="1" s="1"/>
  <c r="H164" i="1" a="1"/>
  <c r="H164" i="1" s="1"/>
  <c r="I164" i="1"/>
  <c r="I68" i="1"/>
  <c r="H68" i="1" a="1"/>
  <c r="H68" i="1" s="1"/>
  <c r="H67" i="1" a="1"/>
  <c r="H67" i="1" s="1"/>
  <c r="I67" i="1"/>
  <c r="H90" i="1" a="1"/>
  <c r="H90" i="1" s="1"/>
  <c r="I90" i="1"/>
  <c r="I140" i="1"/>
  <c r="H140" i="1" a="1"/>
  <c r="H140" i="1" s="1"/>
  <c r="H138" i="1" a="1"/>
  <c r="H138" i="1" s="1"/>
  <c r="I138" i="1"/>
  <c r="I66" i="1"/>
  <c r="H66" i="1" a="1"/>
  <c r="H66" i="1" s="1"/>
  <c r="I185" i="1"/>
  <c r="H185" i="1" a="1"/>
  <c r="H185" i="1" s="1"/>
  <c r="I161" i="1"/>
  <c r="H161" i="1" a="1"/>
  <c r="H161" i="1" s="1"/>
  <c r="H150" i="1" a="1"/>
  <c r="H150" i="1" s="1"/>
  <c r="H54" i="1" a="1"/>
  <c r="H54" i="1" s="1"/>
  <c r="I173" i="1"/>
  <c r="H53" i="1" a="1"/>
  <c r="H53" i="1" s="1"/>
  <c r="I149" i="1"/>
  <c r="I79" i="1"/>
  <c r="H79" i="1" a="1"/>
  <c r="H79" i="1" s="1"/>
  <c r="I91" i="1"/>
  <c r="H91" i="1" a="1"/>
  <c r="H91" i="1" s="1"/>
  <c r="I163" i="1"/>
  <c r="I89" i="1"/>
  <c r="H103" i="1" a="1"/>
  <c r="H103" i="1" s="1"/>
  <c r="I162" i="1"/>
  <c r="I77" i="1"/>
  <c r="H174" i="1" a="1"/>
  <c r="H174" i="1" s="1"/>
  <c r="I125" i="1"/>
  <c r="I115" i="1"/>
  <c r="H55" i="1" a="1"/>
  <c r="H55" i="1" s="1"/>
  <c r="I157" i="1"/>
  <c r="H157" i="1" a="1"/>
  <c r="H157" i="1" s="1"/>
  <c r="I121" i="1"/>
  <c r="H121" i="1" a="1"/>
  <c r="H121" i="1" s="1"/>
  <c r="H154" i="1" a="1"/>
  <c r="H154" i="1" s="1"/>
  <c r="I154" i="1"/>
  <c r="H142" i="1" a="1"/>
  <c r="H142" i="1" s="1"/>
  <c r="I142" i="1"/>
  <c r="H130" i="1" a="1"/>
  <c r="H130" i="1" s="1"/>
  <c r="I130" i="1"/>
  <c r="H118" i="1" a="1"/>
  <c r="H118" i="1" s="1"/>
  <c r="I118" i="1"/>
  <c r="H106" i="1" a="1"/>
  <c r="H106" i="1" s="1"/>
  <c r="I106" i="1"/>
  <c r="H94" i="1" a="1"/>
  <c r="H94" i="1" s="1"/>
  <c r="I94" i="1"/>
  <c r="I117" i="1"/>
  <c r="H117" i="1" a="1"/>
  <c r="H117" i="1" s="1"/>
  <c r="H93" i="1" a="1"/>
  <c r="H93" i="1" s="1"/>
  <c r="I93" i="1"/>
  <c r="I116" i="1"/>
  <c r="H116" i="1" a="1"/>
  <c r="H116" i="1" s="1"/>
  <c r="I80" i="1"/>
  <c r="H80" i="1" a="1"/>
  <c r="H80" i="1" s="1"/>
  <c r="I85" i="1"/>
  <c r="H85" i="1" a="1"/>
  <c r="H85" i="1" s="1"/>
  <c r="H82" i="1" a="1"/>
  <c r="H82" i="1" s="1"/>
  <c r="I82" i="1"/>
  <c r="H141" i="1" a="1"/>
  <c r="H141" i="1" s="1"/>
  <c r="I141" i="1"/>
  <c r="I129" i="1"/>
  <c r="H129" i="1" a="1"/>
  <c r="H129" i="1" s="1"/>
  <c r="I105" i="1"/>
  <c r="H105" i="1" a="1"/>
  <c r="H105" i="1" s="1"/>
  <c r="I81" i="1"/>
  <c r="H81" i="1" a="1"/>
  <c r="H81" i="1" s="1"/>
  <c r="I128" i="1"/>
  <c r="H128" i="1" a="1"/>
  <c r="H128" i="1" s="1"/>
  <c r="I104" i="1"/>
  <c r="H104" i="1" a="1"/>
  <c r="H104" i="1" s="1"/>
  <c r="I92" i="1"/>
  <c r="H92" i="1" a="1"/>
  <c r="H92" i="1" s="1"/>
  <c r="I86" i="1"/>
  <c r="H86" i="1" a="1"/>
  <c r="H86" i="1" s="1"/>
  <c r="H158" i="1" a="1"/>
  <c r="H158" i="1" s="1"/>
  <c r="H177" i="1" a="1"/>
  <c r="H177" i="1" s="1"/>
  <c r="H175" i="1" a="1"/>
  <c r="H175" i="1" s="1"/>
  <c r="I175" i="1"/>
  <c r="H57" i="1" a="1"/>
  <c r="H57" i="1" s="1"/>
  <c r="I57" i="1"/>
  <c r="H153" i="1" a="1"/>
  <c r="H153" i="1" s="1"/>
  <c r="H127" i="1" a="1"/>
  <c r="H127" i="1" s="1"/>
  <c r="I152" i="1"/>
  <c r="H152" i="1" a="1"/>
  <c r="H152" i="1" s="1"/>
  <c r="H151" i="1" a="1"/>
  <c r="H151" i="1" s="1"/>
  <c r="I151" i="1"/>
  <c r="I176" i="1"/>
  <c r="H176" i="1" a="1"/>
  <c r="H176" i="1" s="1"/>
  <c r="H58" i="1" a="1"/>
  <c r="H58" i="1" s="1"/>
  <c r="I58" i="1"/>
  <c r="I178" i="1"/>
  <c r="H165" i="1" a="1"/>
  <c r="H165" i="1" s="1"/>
  <c r="H122" i="1" a="1"/>
  <c r="H122" i="1" s="1"/>
  <c r="I139" i="1"/>
  <c r="I166" i="1"/>
  <c r="H56" i="1" a="1"/>
  <c r="H56" i="1" s="1"/>
  <c r="H126" i="1" a="1"/>
  <c r="H126" i="1" s="1"/>
  <c r="H102" i="1" a="1"/>
  <c r="H102" i="1" s="1"/>
  <c r="H78" i="1" a="1"/>
  <c r="H78" i="1" s="1"/>
  <c r="H147" i="1" a="1"/>
  <c r="H147" i="1" s="1"/>
  <c r="H111" i="1" a="1"/>
  <c r="H111" i="1" s="1"/>
  <c r="H168" i="1" a="1"/>
  <c r="H168" i="1" s="1"/>
  <c r="I168" i="1"/>
  <c r="H156" i="1" a="1"/>
  <c r="H156" i="1" s="1"/>
  <c r="I156" i="1"/>
  <c r="I132" i="1"/>
  <c r="H132" i="1" a="1"/>
  <c r="H132" i="1" s="1"/>
  <c r="I108" i="1"/>
  <c r="H108" i="1" a="1"/>
  <c r="H108" i="1" s="1"/>
  <c r="H84" i="1" a="1"/>
  <c r="H84" i="1" s="1"/>
  <c r="I84" i="1"/>
  <c r="I60" i="1"/>
  <c r="H60" i="1" a="1"/>
  <c r="H60" i="1" s="1"/>
  <c r="H182" i="1" a="1"/>
  <c r="H182" i="1" s="1"/>
  <c r="H146" i="1" a="1"/>
  <c r="H146" i="1" s="1"/>
  <c r="I167" i="1"/>
  <c r="H167" i="1" a="1"/>
  <c r="H167" i="1" s="1"/>
  <c r="I143" i="1"/>
  <c r="H143" i="1" a="1"/>
  <c r="H143" i="1" s="1"/>
  <c r="I119" i="1"/>
  <c r="H119" i="1" a="1"/>
  <c r="H119" i="1" s="1"/>
  <c r="I95" i="1"/>
  <c r="H95" i="1" a="1"/>
  <c r="H95" i="1" s="1"/>
  <c r="I83" i="1"/>
  <c r="H83" i="1" a="1"/>
  <c r="H83" i="1" s="1"/>
  <c r="I59" i="1"/>
  <c r="H59" i="1" a="1"/>
  <c r="H59" i="1" s="1"/>
  <c r="H181" i="1" a="1"/>
  <c r="H181" i="1" s="1"/>
  <c r="H171" i="1" a="1"/>
  <c r="H171" i="1" s="1"/>
  <c r="H73" i="1" a="1"/>
  <c r="H73" i="1" s="1"/>
  <c r="H63" i="1" a="1"/>
  <c r="H63" i="1" s="1"/>
  <c r="H170" i="1" a="1"/>
  <c r="H170" i="1" s="1"/>
  <c r="H134" i="1" a="1"/>
  <c r="H134" i="1" s="1"/>
  <c r="H98" i="1" a="1"/>
  <c r="H98" i="1" s="1"/>
  <c r="H62" i="1" a="1"/>
  <c r="H62" i="1" s="1"/>
  <c r="H184" i="1" a="1"/>
  <c r="H184" i="1" s="1"/>
  <c r="I184" i="1"/>
  <c r="H172" i="1" a="1"/>
  <c r="H172" i="1" s="1"/>
  <c r="I172" i="1"/>
  <c r="H160" i="1" a="1"/>
  <c r="H160" i="1" s="1"/>
  <c r="I160" i="1"/>
  <c r="H148" i="1" a="1"/>
  <c r="H148" i="1" s="1"/>
  <c r="I148" i="1"/>
  <c r="H136" i="1" a="1"/>
  <c r="H136" i="1" s="1"/>
  <c r="I136" i="1"/>
  <c r="H124" i="1" a="1"/>
  <c r="H124" i="1" s="1"/>
  <c r="I124" i="1"/>
  <c r="H112" i="1" a="1"/>
  <c r="H112" i="1" s="1"/>
  <c r="I112" i="1"/>
  <c r="H100" i="1" a="1"/>
  <c r="H100" i="1" s="1"/>
  <c r="I100" i="1"/>
  <c r="H88" i="1" a="1"/>
  <c r="H88" i="1" s="1"/>
  <c r="I88" i="1"/>
  <c r="H76" i="1" a="1"/>
  <c r="H76" i="1" s="1"/>
  <c r="I76" i="1"/>
  <c r="H64" i="1" a="1"/>
  <c r="H64" i="1" s="1"/>
  <c r="I64" i="1"/>
  <c r="H183" i="1" a="1"/>
  <c r="H183" i="1" s="1"/>
  <c r="H75" i="1" a="1"/>
  <c r="H75" i="1" s="1"/>
  <c r="I180" i="1"/>
  <c r="H180" i="1" a="1"/>
  <c r="H180" i="1" s="1"/>
  <c r="H144" i="1" a="1"/>
  <c r="H144" i="1" s="1"/>
  <c r="I144" i="1"/>
  <c r="H120" i="1" a="1"/>
  <c r="H120" i="1" s="1"/>
  <c r="I120" i="1"/>
  <c r="H96" i="1" a="1"/>
  <c r="H96" i="1" s="1"/>
  <c r="I96" i="1"/>
  <c r="I72" i="1"/>
  <c r="H72" i="1" a="1"/>
  <c r="H72" i="1" s="1"/>
  <c r="H110" i="1" a="1"/>
  <c r="H110" i="1" s="1"/>
  <c r="H74" i="1" a="1"/>
  <c r="H74" i="1" s="1"/>
  <c r="I179" i="1"/>
  <c r="H179" i="1" a="1"/>
  <c r="H179" i="1" s="1"/>
  <c r="I155" i="1"/>
  <c r="H155" i="1" a="1"/>
  <c r="H155" i="1" s="1"/>
  <c r="I131" i="1"/>
  <c r="H131" i="1" a="1"/>
  <c r="H131" i="1" s="1"/>
  <c r="I107" i="1"/>
  <c r="H107" i="1" a="1"/>
  <c r="H107" i="1" s="1"/>
  <c r="I71" i="1"/>
  <c r="H71" i="1" a="1"/>
  <c r="H71" i="1" s="1"/>
  <c r="H145" i="1" a="1"/>
  <c r="H145" i="1" s="1"/>
  <c r="H135" i="1" a="1"/>
  <c r="H135" i="1" s="1"/>
  <c r="H109" i="1" a="1"/>
  <c r="H109" i="1" s="1"/>
  <c r="H99" i="1" a="1"/>
  <c r="H99" i="1" s="1"/>
  <c r="H20" i="1" a="1"/>
  <c r="H20" i="1" s="1"/>
  <c r="H169" i="1" a="1"/>
  <c r="H169" i="1" s="1"/>
  <c r="H159" i="1" a="1"/>
  <c r="H159" i="1" s="1"/>
  <c r="H133" i="1" a="1"/>
  <c r="H133" i="1" s="1"/>
  <c r="H123" i="1" a="1"/>
  <c r="H123" i="1" s="1"/>
  <c r="H97" i="1" a="1"/>
  <c r="H97" i="1" s="1"/>
  <c r="H87" i="1" a="1"/>
  <c r="H87" i="1" s="1"/>
  <c r="H61" i="1" a="1"/>
  <c r="H61" i="1" s="1"/>
  <c r="I30" i="1"/>
  <c r="H30" i="1" a="1"/>
  <c r="H30" i="1" s="1"/>
  <c r="H26" i="1" a="1"/>
  <c r="H26" i="1" s="1"/>
  <c r="I24" i="1"/>
  <c r="H24" i="1" a="1"/>
  <c r="H24" i="1" s="1"/>
  <c r="H11" i="1" a="1"/>
  <c r="H11" i="1" s="1"/>
  <c r="I11" i="1"/>
  <c r="H40" i="1" a="1"/>
  <c r="H40" i="1" s="1"/>
  <c r="H28" i="1" a="1"/>
  <c r="H28" i="1" s="1"/>
  <c r="H52" i="1" a="1"/>
  <c r="H52" i="1" s="1"/>
  <c r="H31" i="1" a="1"/>
  <c r="H31" i="1" s="1"/>
  <c r="H27" i="1" a="1"/>
  <c r="H27" i="1" s="1"/>
  <c r="I44" i="1"/>
  <c r="H21" i="1" a="1"/>
  <c r="H21" i="1" s="1"/>
  <c r="H7" i="1" a="1"/>
  <c r="H7" i="1" s="1"/>
  <c r="I35" i="1"/>
  <c r="H35" i="1" a="1"/>
  <c r="H35" i="1" s="1"/>
  <c r="H14" i="1" a="1"/>
  <c r="H14" i="1" s="1"/>
  <c r="I14" i="1"/>
  <c r="H3" i="1" a="1"/>
  <c r="H3" i="1" s="1"/>
  <c r="I3" i="1"/>
  <c r="I47" i="1"/>
  <c r="H47" i="1" a="1"/>
  <c r="H47" i="1" s="1"/>
  <c r="I45" i="1"/>
  <c r="H45" i="1" a="1"/>
  <c r="H45" i="1" s="1"/>
  <c r="H38" i="1" a="1"/>
  <c r="H38" i="1" s="1"/>
  <c r="I37" i="1"/>
  <c r="H49" i="1" a="1"/>
  <c r="H49" i="1" s="1"/>
  <c r="I4" i="1"/>
  <c r="H4" i="1" a="1"/>
  <c r="H4" i="1" s="1"/>
  <c r="I13" i="1"/>
  <c r="H13" i="1" a="1"/>
  <c r="H13" i="1" s="1"/>
  <c r="I32" i="1"/>
  <c r="H32" i="1" a="1"/>
  <c r="H32" i="1" s="1"/>
  <c r="I36" i="1"/>
  <c r="H36" i="1" a="1"/>
  <c r="H36" i="1" s="1"/>
  <c r="I43" i="1"/>
  <c r="H43" i="1" a="1"/>
  <c r="H43" i="1" s="1"/>
  <c r="I8" i="1"/>
  <c r="H9" i="1" a="1"/>
  <c r="H9" i="1" s="1"/>
  <c r="I9" i="1"/>
  <c r="H50" i="1" a="1"/>
  <c r="H50" i="1" s="1"/>
  <c r="I50" i="1"/>
  <c r="I23" i="1"/>
  <c r="I15" i="1"/>
  <c r="I6" i="1"/>
  <c r="H12" i="1" a="1"/>
  <c r="H12" i="1" s="1"/>
  <c r="I48" i="1"/>
  <c r="H48" i="1" a="1"/>
  <c r="H48" i="1" s="1"/>
  <c r="H16" i="1" a="1"/>
  <c r="H16" i="1" s="1"/>
  <c r="I16" i="1"/>
  <c r="I19" i="1"/>
  <c r="H19" i="1" a="1"/>
  <c r="H19" i="1" s="1"/>
  <c r="I42" i="1"/>
  <c r="I39" i="1"/>
  <c r="I33" i="1"/>
  <c r="I25" i="1"/>
  <c r="H22" i="1" a="1"/>
  <c r="H22" i="1" s="1"/>
  <c r="I22" i="1"/>
  <c r="H34" i="1" a="1"/>
  <c r="H34" i="1" s="1"/>
  <c r="I34" i="1"/>
  <c r="H10" i="1" a="1"/>
  <c r="H10" i="1" s="1"/>
  <c r="I10" i="1"/>
  <c r="H46" i="1" a="1"/>
  <c r="H46" i="1" s="1"/>
  <c r="I46" i="1"/>
  <c r="I41" i="1"/>
  <c r="I29" i="1"/>
  <c r="I17" i="1"/>
  <c r="I5" i="1"/>
  <c r="B6" i="2" a="1"/>
  <c r="B6" i="2" s="1"/>
  <c r="B8" i="2" s="1"/>
  <c r="J7" i="2" l="1" a="1"/>
  <c r="J7" i="2" s="1"/>
  <c r="B9" i="2" a="1"/>
  <c r="B9" i="2" s="1"/>
  <c r="K7" i="2" a="1"/>
  <c r="K7" i="2" s="1"/>
  <c r="I7" i="2" a="1"/>
  <c r="I7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9F4B339-EFBF-4AA3-AF29-B53F008DAC34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85D54D0F-3688-4614-9B27-6AED0A24FA5E}" name="WorksheetConnection_Book1!Table1" type="102" refreshedVersion="8" minRefreshableVersion="5">
    <extLst>
      <ext xmlns:x15="http://schemas.microsoft.com/office/spreadsheetml/2010/11/main" uri="{DE250136-89BD-433C-8126-D09CA5730AF9}">
        <x15:connection id="Table1" autoDelete="1">
          <x15:rangePr sourceName="_xlcn.WorksheetConnection_Book1Table1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<sst xmlns="http://schemas.openxmlformats.org/spreadsheetml/2006/main" count="458" uniqueCount="71">
  <si>
    <t>Transaction ID</t>
  </si>
  <si>
    <t>Date</t>
  </si>
  <si>
    <t>Sales Rep ID</t>
  </si>
  <si>
    <t>Product ID</t>
  </si>
  <si>
    <t>Units Sold</t>
  </si>
  <si>
    <t>E101</t>
  </si>
  <si>
    <t>SNK-01</t>
  </si>
  <si>
    <t>E102</t>
  </si>
  <si>
    <t>ACC-03</t>
  </si>
  <si>
    <t>E103</t>
  </si>
  <si>
    <t>SNK-02</t>
  </si>
  <si>
    <t>E104</t>
  </si>
  <si>
    <t>APP-01</t>
  </si>
  <si>
    <t>ACC-01</t>
  </si>
  <si>
    <t>APP-02</t>
  </si>
  <si>
    <t>SNK-03</t>
  </si>
  <si>
    <t>ACC-02</t>
  </si>
  <si>
    <t>APP-03</t>
  </si>
  <si>
    <t>Product Name</t>
  </si>
  <si>
    <t>Category</t>
  </si>
  <si>
    <t>Unit Price</t>
  </si>
  <si>
    <t>Commission Rate</t>
  </si>
  <si>
    <t>Air Runner</t>
  </si>
  <si>
    <t>Sneakers</t>
  </si>
  <si>
    <t>Street Flex</t>
  </si>
  <si>
    <t>Pro Glide</t>
  </si>
  <si>
    <t>Fit Tee</t>
  </si>
  <si>
    <t>Apparel</t>
  </si>
  <si>
    <t>Training Shorts</t>
  </si>
  <si>
    <t>Windbreaker</t>
  </si>
  <si>
    <t>Sport Cap</t>
  </si>
  <si>
    <t>Accessories</t>
  </si>
  <si>
    <t>Water Bottle</t>
  </si>
  <si>
    <t>Gym Bag</t>
  </si>
  <si>
    <t>Rep Name</t>
  </si>
  <si>
    <t>Ana</t>
  </si>
  <si>
    <t>Ben</t>
  </si>
  <si>
    <t>Chloe</t>
  </si>
  <si>
    <t>David</t>
  </si>
  <si>
    <t>Raw Sales Data</t>
  </si>
  <si>
    <t>Product Master</t>
  </si>
  <si>
    <t>Sales Rep Master</t>
  </si>
  <si>
    <t>Total Revenue</t>
  </si>
  <si>
    <t>Sales Rep</t>
  </si>
  <si>
    <t>Month</t>
  </si>
  <si>
    <t>Months for data dropdown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</si>
  <si>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</si>
  <si>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</si>
  <si>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</si>
  <si>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</si>
  <si>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</si>
  <si>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</si>
  <si>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</si>
  <si>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</si>
  <si>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</si>
  <si>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</si>
  <si>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</si>
  <si>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</si>
  <si>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 xml:space="preserve">Total Revenue </t>
  </si>
  <si>
    <t>Total Transactions</t>
  </si>
  <si>
    <t>Average Revenue 
per Transaction</t>
  </si>
  <si>
    <t>Total no. of sales in
"High" commission
tier</t>
  </si>
  <si>
    <t>Commission Tier</t>
  </si>
  <si>
    <t>Commission Amount</t>
  </si>
  <si>
    <t>Commission
Amount</t>
  </si>
  <si>
    <t>Individual Transactions</t>
  </si>
  <si>
    <t>Low</t>
  </si>
  <si>
    <t>Medium</t>
  </si>
  <si>
    <t xml:space="preserve">Sales Rep </t>
  </si>
  <si>
    <t xml:space="preserve">High </t>
  </si>
  <si>
    <t>No. of Transactions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</si>
</sst>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;;;"/>
    <numFmt numFmtId="165" formatCode="_-[$$-409]* #,##0.00_ ;_-[$$-409]* \-#,##0.00\ ;_-[$$-409]* &quot;-&quot;??_ ;_-@_ "/>
  </numFmts>
  <fonts count="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/>
      <bottom style="thin">
        <color theme="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15" fontId="0" fillId="0" borderId="0" xfId="0" applyNumberFormat="1" applyAlignment="1">
      <alignment horizontal="left" vertical="center" wrapText="1"/>
    </xf>
    <xf numFmtId="9" fontId="0" fillId="0" borderId="0" xfId="0" applyNumberFormat="1" applyAlignment="1">
      <alignment horizontal="left" vertical="center" wrapText="1"/>
    </xf>
    <xf numFmtId="0" fontId="3" fillId="0" borderId="0" xfId="0" applyFont="1"/>
    <xf numFmtId="0" fontId="0" fillId="0" borderId="0" xfId="0" applyAlignment="1">
      <alignment wrapText="1"/>
    </xf>
    <xf numFmtId="164" fontId="0" fillId="0" borderId="0" xfId="0" applyNumberFormat="1"/>
    <xf numFmtId="165" fontId="0" fillId="0" borderId="0" xfId="0" applyNumberFormat="1" applyAlignment="1">
      <alignment horizontal="left" vertical="center" wrapText="1"/>
    </xf>
    <xf numFmtId="165" fontId="5" fillId="0" borderId="0" xfId="0" applyNumberFormat="1" applyFont="1" applyAlignment="1">
      <alignment horizontal="left" vertical="center" wrapText="1"/>
    </xf>
    <xf numFmtId="0" fontId="5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6" fillId="6" borderId="1" xfId="0" applyFont="1" applyFill="1" applyBorder="1"/>
    <xf numFmtId="1" fontId="3" fillId="0" borderId="0" xfId="0" applyNumberFormat="1" applyFont="1"/>
    <xf numFmtId="0" fontId="1" fillId="4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23"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center" textRotation="0" wrapText="1" indent="0" justifyLastLine="0" shrinkToFit="0" readingOrder="0"/>
    </dxf>
    <dxf>
      <numFmt numFmtId="13" formatCode="0%"/>
      <alignment horizontal="left" vertical="center" textRotation="0" wrapText="1" indent="0" justifyLastLine="0" shrinkToFit="0" readingOrder="0"/>
    </dxf>
    <dxf>
      <numFmt numFmtId="165" formatCode="_-[$$-409]* #,##0.00_ ;_-[$$-409]* \-#,##0.00\ ;_-[$$-409]* &quot;-&quot;??_ ;_-@_ "/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center" textRotation="0" wrapText="1" indent="0" justifyLastLine="0" shrinkToFit="0" readingOrder="0"/>
    </dxf>
    <dxf>
      <numFmt numFmtId="0" formatCode="General"/>
      <alignment horizontal="left" vertical="center" textRotation="0" wrapText="1" indent="0" justifyLastLine="0" shrinkToFit="0" readingOrder="0"/>
    </dxf>
    <dxf>
      <numFmt numFmtId="0" formatCode="General"/>
      <alignment horizontal="left" vertical="center" textRotation="0" wrapText="1" indent="0" justifyLastLine="0" shrinkToFit="0" readingOrder="0"/>
    </dxf>
    <dxf>
      <numFmt numFmtId="0" formatCode="General"/>
      <alignment horizontal="left" vertical="center" textRotation="0" wrapText="1" indent="0" justifyLastLine="0" shrinkToFit="0" readingOrder="0"/>
    </dxf>
    <dxf>
      <numFmt numFmtId="0" formatCode="General"/>
      <alignment horizontal="left" vertical="center" textRotation="0" wrapText="1" indent="0" justifyLastLine="0" shrinkToFit="0" readingOrder="0"/>
    </dxf>
    <dxf>
      <numFmt numFmtId="165" formatCode="_-[$$-409]* #,##0.00_ ;_-[$$-409]* \-#,##0.00\ ;_-[$$-409]* &quot;-&quot;??_ ;_-@_ "/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numFmt numFmtId="166" formatCode="dd\-mmm\-yy"/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No. of Transactions per</a:t>
            </a:r>
            <a:r>
              <a:rPr lang="en-US" baseline="0"/>
              <a:t> commission tier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Dashboard!$H$7</c:f>
              <c:strCache>
                <c:ptCount val="1"/>
                <c:pt idx="0">
                  <c:v>No. of Transactions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Dashboard!$I$6:$K$6</c:f>
              <c:strCache>
                <c:ptCount val="3"/>
                <c:pt idx="0">
                  <c:v>High 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Dashboard!$I$7:$K$7</c:f>
              <c:numCache>
                <c:formatCode>General</c:formatCode>
                <c:ptCount val="3"/>
                <c:pt idx="0">
                  <c:v>4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4A-4F17-96A9-0EEADE09589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1137930511"/>
        <c:axId val="1137933391"/>
      </c:barChart>
      <c:catAx>
        <c:axId val="11379305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7933391"/>
        <c:crosses val="autoZero"/>
        <c:auto val="1"/>
        <c:lblAlgn val="ctr"/>
        <c:lblOffset val="100"/>
        <c:noMultiLvlLbl val="0"/>
      </c:catAx>
      <c:valAx>
        <c:axId val="1137933391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1379305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525780</xdr:colOff>
      <xdr:row>2</xdr:row>
      <xdr:rowOff>41910</xdr:rowOff>
    </xdr:from>
    <xdr:to>
      <xdr:col>14</xdr:col>
      <xdr:colOff>0</xdr:colOff>
      <xdr:row>12</xdr:row>
      <xdr:rowOff>95250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3CD7BC0-D34A-AF84-2D85-A22C65742F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55554F-5C4C-4B99-8199-5FEF7A4B3233}" name="Table1" displayName="Table1" ref="A2:J186" totalsRowShown="0" headerRowDxfId="22" dataDxfId="21">
  <autoFilter ref="A2:J186" xr:uid="{4C55554F-5C4C-4B99-8199-5FEF7A4B3233}"/>
  <tableColumns count="10">
    <tableColumn id="1" xr3:uid="{71E0E8DB-8B27-49E8-9755-DFE0FFF22090}" name="Transaction ID" dataDxfId="20"/>
    <tableColumn id="2" xr3:uid="{327342B8-D59C-4ACB-A638-F1197F08C42F}" name="Date" dataDxfId="19"/>
    <tableColumn id="3" xr3:uid="{78CE4D95-A95D-419D-85F0-96AC5C581607}" name="Sales Rep ID" dataDxfId="18"/>
    <tableColumn id="4" xr3:uid="{BF84EF7E-60CD-4719-A292-CF87A136C082}" name="Product ID" dataDxfId="17"/>
    <tableColumn id="5" xr3:uid="{D6E1F074-BFD0-43EA-B2F8-E52C4127B861}" name="Units Sold" dataDxfId="16"/>
    <tableColumn id="6" xr3:uid="{7947341D-F981-4E19-800B-AA8F60F1987C}" name="Unit Price" dataDxfId="15">
      <calculatedColumnFormula>_xlfn.XLOOKUP(Table1[[#This Row],[Product ID]],Table2[Product ID],Table2[Unit Price])</calculatedColumnFormula>
    </tableColumn>
    <tableColumn id="7" xr3:uid="{A7205B4F-1CFB-451D-BE9C-5E5156E86605}" name="Total Revenue" dataDxfId="14">
      <calculatedColumnFormula>Table1[[#This Row],[Units Sold]]*Table1[[#This Row],[Unit Price]]</calculatedColumnFormula>
    </tableColumn>
    <tableColumn id="8" xr3:uid="{D00D7F55-8BD9-46E9-9A26-8EFFB9AA9B12}" name="Commission Tier" dataDxfId="13">
      <calculatedColumnFormula array="1">_xlfn.IFS(Table1[[#This Row],[Total Revenue]]&gt;1000,"High",Table1[[#This Row],[Total Revenue]]&gt;=500,"Medium",Table1[[#This Row],[Total Revenue]]&lt;500,"Low")</calculatedColumnFormula>
    </tableColumn>
    <tableColumn id="10" xr3:uid="{CB5AC35B-361F-4AF3-8D5E-4843191D4707}" name="Commission Amount" dataDxfId="12">
      <calculatedColumnFormula>Table1[[#This Row],[Total Revenue]]*VLOOKUP(Table1[[#This Row],[Product ID]],Table2[],5,FALSE)</calculatedColumnFormula>
    </tableColumn>
    <tableColumn id="11" xr3:uid="{CDA81E96-196B-46B6-8BC3-5AE7AD9E31E7}" name="Month" dataDxfId="11">
      <calculatedColumnFormula>TEXT(Table1[[#This Row],[Date]],"mmmm")</calculatedColumnFormula>
    </tableColumn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CD40EE0-AD44-4966-AF2B-376767D3ACB8}" name="Table2" displayName="Table2" ref="L2:P11" totalsRowShown="0" headerRowDxfId="10" dataDxfId="9">
  <autoFilter ref="L2:P11" xr:uid="{3CD40EE0-AD44-4966-AF2B-376767D3ACB8}"/>
  <tableColumns count="5">
    <tableColumn id="1" xr3:uid="{EE5EC575-DB5A-45CC-83E3-F8650E37A336}" name="Product ID" dataDxfId="8"/>
    <tableColumn id="2" xr3:uid="{E9235433-F1D9-48DF-90CF-0052E612C83B}" name="Product Name" dataDxfId="7"/>
    <tableColumn id="3" xr3:uid="{42D0E6B2-CE0E-484B-ACE0-677DE383B637}" name="Category" dataDxfId="6"/>
    <tableColumn id="4" xr3:uid="{8DEFFA5B-4B48-4788-98B8-3D40D12FBEA1}" name="Unit Price" dataDxfId="5"/>
    <tableColumn id="5" xr3:uid="{26A345B7-204E-4AA4-917F-34DB7085A4CC}" name="Commission Rate" dataDxfId="4"/>
  </tableColumns>
  <tableStyleInfo name="TableStyleLight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B0501B7-654E-43CC-8378-54F10D7CFEBE}" name="Table3" displayName="Table3" ref="R2:S6" totalsRowShown="0" headerRowDxfId="3" dataDxfId="2">
  <autoFilter ref="R2:S6" xr:uid="{6B0501B7-654E-43CC-8378-54F10D7CFEBE}"/>
  <tableColumns count="2">
    <tableColumn id="1" xr3:uid="{AFAE28BC-D085-4FE2-AA7B-E0C7EE252E10}" name="Sales Rep ID" dataDxfId="1"/>
    <tableColumn id="2" xr3:uid="{6901DFFD-8DED-491F-B387-AD5E1C5E6CE1}" name="Rep Name" dataDxfId="0"/>
  </tableColumns>
  <tableStyleInfo name="TableStyleLight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08C69-C936-4588-B5F4-D36B1CBCCD93}">
  <dimension ref="A1:U186"/>
  <sheetViews>
    <sheetView topLeftCell="D1" workbookViewId="0">
      <selection activeCell="J9" sqref="J9"/>
    </sheetView>
  </sheetViews>
  <sheetFormatPr defaultRowHeight="14.4" x14ac:dyDescent="0.3"/>
  <cols>
    <col min="1" max="1" width="14.6640625" customWidth="1"/>
    <col min="2" max="2" width="9.5546875" bestFit="1" customWidth="1"/>
    <col min="3" max="3" width="11.5546875" customWidth="1"/>
    <col min="4" max="4" width="11.33203125" customWidth="1"/>
    <col min="6" max="6" width="11.5546875" customWidth="1"/>
    <col min="7" max="7" width="14.77734375" customWidth="1"/>
    <col min="8" max="8" width="12.44140625" customWidth="1"/>
    <col min="9" max="9" width="13.5546875" customWidth="1"/>
    <col min="10" max="11" width="17.44140625" customWidth="1"/>
    <col min="13" max="13" width="13.109375" customWidth="1"/>
    <col min="14" max="14" width="11.44140625" customWidth="1"/>
    <col min="15" max="15" width="10" customWidth="1"/>
    <col min="16" max="16" width="12.109375" customWidth="1"/>
    <col min="19" max="19" width="10.44140625" customWidth="1"/>
  </cols>
  <sheetData>
    <row r="1" spans="1:21" x14ac:dyDescent="0.3">
      <c r="A1" s="19" t="s">
        <v>39</v>
      </c>
      <c r="B1" s="19"/>
      <c r="C1" s="19"/>
      <c r="D1" s="19"/>
      <c r="E1" s="19"/>
      <c r="F1" s="19"/>
      <c r="G1" s="19"/>
      <c r="H1" s="19"/>
      <c r="I1" s="19"/>
      <c r="J1" s="19"/>
      <c r="L1" s="17" t="s">
        <v>40</v>
      </c>
      <c r="M1" s="17"/>
      <c r="N1" s="17"/>
      <c r="O1" s="17"/>
      <c r="P1" s="17"/>
      <c r="R1" s="18" t="s">
        <v>41</v>
      </c>
      <c r="S1" s="18"/>
    </row>
    <row r="2" spans="1:21" ht="34.200000000000003" customHeight="1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20</v>
      </c>
      <c r="G2" s="2" t="s">
        <v>42</v>
      </c>
      <c r="H2" s="2" t="s">
        <v>62</v>
      </c>
      <c r="I2" s="2" t="s">
        <v>63</v>
      </c>
      <c r="J2" s="2" t="s">
        <v>44</v>
      </c>
      <c r="K2" s="2"/>
      <c r="L2" s="2" t="s">
        <v>3</v>
      </c>
      <c r="M2" s="2" t="s">
        <v>18</v>
      </c>
      <c r="N2" s="2" t="s">
        <v>19</v>
      </c>
      <c r="O2" s="2" t="s">
        <v>20</v>
      </c>
      <c r="P2" s="2" t="s">
        <v>21</v>
      </c>
      <c r="R2" s="2" t="s">
        <v>2</v>
      </c>
      <c r="S2" s="2" t="s">
        <v>34</v>
      </c>
      <c r="U2" s="6"/>
    </row>
    <row r="3" spans="1:21" x14ac:dyDescent="0.3">
      <c r="A3" s="1">
        <v>1001</v>
      </c>
      <c r="B3" s="3">
        <v>45566</v>
      </c>
      <c r="C3" s="1" t="s">
        <v>5</v>
      </c>
      <c r="D3" s="1" t="s">
        <v>6</v>
      </c>
      <c r="E3" s="1">
        <v>5</v>
      </c>
      <c r="F3" s="8">
        <f>_xlfn.XLOOKUP(Table1[[#This Row],[Product ID]],Table2[Product ID],Table2[Unit Price])</f>
        <v>120</v>
      </c>
      <c r="G3" s="1">
        <f>Table1[[#This Row],[Units Sold]]*Table1[[#This Row],[Unit Price]]</f>
        <v>600</v>
      </c>
      <c r="H3" s="1" t="str" cm="1">
        <f t="array" ref="H3">_xlfn.IFS(Table1[[#This Row],[Total Revenue]]&gt;1000,"High",Table1[[#This Row],[Total Revenue]]&gt;=500,"Medium",Table1[[#This Row],[Total Revenue]]&lt;500,"Low")</f>
        <v>Medium</v>
      </c>
      <c r="I3" s="1">
        <f>Table1[[#This Row],[Total Revenue]]*VLOOKUP(Table1[[#This Row],[Product ID]],Table2[],5,FALSE)</f>
        <v>90</v>
      </c>
      <c r="J3" s="1" t="str">
        <f>TEXT(Table1[[#This Row],[Date]],"mmmm")</f>
        <v>October</v>
      </c>
      <c r="K3" s="1"/>
      <c r="L3" s="1" t="s">
        <v>6</v>
      </c>
      <c r="M3" s="1" t="s">
        <v>22</v>
      </c>
      <c r="N3" s="1" t="s">
        <v>23</v>
      </c>
      <c r="O3" s="8">
        <v>120</v>
      </c>
      <c r="P3" s="4">
        <v>0.15</v>
      </c>
      <c r="R3" s="1" t="s">
        <v>5</v>
      </c>
      <c r="S3" s="1" t="s">
        <v>35</v>
      </c>
    </row>
    <row r="4" spans="1:21" x14ac:dyDescent="0.3">
      <c r="A4" s="1">
        <v>1002</v>
      </c>
      <c r="B4" s="3">
        <v>45566</v>
      </c>
      <c r="C4" s="1" t="s">
        <v>7</v>
      </c>
      <c r="D4" s="1" t="s">
        <v>8</v>
      </c>
      <c r="E4" s="1">
        <v>2</v>
      </c>
      <c r="F4" s="8">
        <f>_xlfn.XLOOKUP(Table1[[#This Row],[Product ID]],Table2[Product ID],Table2[Unit Price])</f>
        <v>50</v>
      </c>
      <c r="G4" s="1">
        <f>Table1[[#This Row],[Units Sold]]*Table1[[#This Row],[Unit Price]]</f>
        <v>100</v>
      </c>
      <c r="H4" s="1" t="str" cm="1">
        <f t="array" ref="H4">_xlfn.IFS(Table1[[#This Row],[Total Revenue]]&gt;1000,"High",Table1[[#This Row],[Total Revenue]]&gt;=500,"Medium",Table1[[#This Row],[Total Revenue]]&lt;500,"Low")</f>
        <v>Low</v>
      </c>
      <c r="I4" s="1">
        <f>Table1[[#This Row],[Total Revenue]]*VLOOKUP(Table1[[#This Row],[Product ID]],Table2[],5,FALSE)</f>
        <v>10</v>
      </c>
      <c r="J4" s="1" t="str">
        <f>TEXT(Table1[[#This Row],[Date]],"mmmm")</f>
        <v>October</v>
      </c>
      <c r="K4" s="1"/>
      <c r="L4" s="1" t="s">
        <v>10</v>
      </c>
      <c r="M4" s="1" t="s">
        <v>24</v>
      </c>
      <c r="N4" s="1" t="s">
        <v>23</v>
      </c>
      <c r="O4" s="8">
        <v>150</v>
      </c>
      <c r="P4" s="4">
        <v>0.15</v>
      </c>
      <c r="R4" s="1" t="s">
        <v>7</v>
      </c>
      <c r="S4" s="1" t="s">
        <v>36</v>
      </c>
    </row>
    <row r="5" spans="1:21" x14ac:dyDescent="0.3">
      <c r="A5" s="1">
        <v>1003</v>
      </c>
      <c r="B5" s="3">
        <v>45567</v>
      </c>
      <c r="C5" s="1" t="s">
        <v>9</v>
      </c>
      <c r="D5" s="1" t="s">
        <v>10</v>
      </c>
      <c r="E5" s="1">
        <v>3</v>
      </c>
      <c r="F5" s="8">
        <f>_xlfn.XLOOKUP(Table1[[#This Row],[Product ID]],Table2[Product ID],Table2[Unit Price])</f>
        <v>150</v>
      </c>
      <c r="G5" s="1">
        <f>Table1[[#This Row],[Units Sold]]*Table1[[#This Row],[Unit Price]]</f>
        <v>450</v>
      </c>
      <c r="H5" s="1" t="str" cm="1">
        <f t="array" ref="H5">_xlfn.IFS(Table1[[#This Row],[Total Revenue]]&gt;1000,"High",Table1[[#This Row],[Total Revenue]]&gt;=500,"Medium",Table1[[#This Row],[Total Revenue]]&lt;500,"Low")</f>
        <v>Low</v>
      </c>
      <c r="I5" s="1">
        <f>Table1[[#This Row],[Total Revenue]]*VLOOKUP(Table1[[#This Row],[Product ID]],Table2[],5,FALSE)</f>
        <v>67.5</v>
      </c>
      <c r="J5" s="1" t="str">
        <f>TEXT(Table1[[#This Row],[Date]],"mmmm")</f>
        <v>October</v>
      </c>
      <c r="K5" s="1"/>
      <c r="L5" s="1" t="s">
        <v>15</v>
      </c>
      <c r="M5" s="1" t="s">
        <v>25</v>
      </c>
      <c r="N5" s="1" t="s">
        <v>23</v>
      </c>
      <c r="O5" s="8">
        <v>180</v>
      </c>
      <c r="P5" s="4">
        <v>0.18</v>
      </c>
      <c r="R5" s="1" t="s">
        <v>9</v>
      </c>
      <c r="S5" s="1" t="s">
        <v>37</v>
      </c>
    </row>
    <row r="6" spans="1:21" x14ac:dyDescent="0.3">
      <c r="A6" s="1">
        <v>1004</v>
      </c>
      <c r="B6" s="3">
        <v>45568</v>
      </c>
      <c r="C6" s="1" t="s">
        <v>11</v>
      </c>
      <c r="D6" s="1" t="s">
        <v>12</v>
      </c>
      <c r="E6" s="1">
        <v>4</v>
      </c>
      <c r="F6" s="8">
        <f>_xlfn.XLOOKUP(Table1[[#This Row],[Product ID]],Table2[Product ID],Table2[Unit Price])</f>
        <v>35</v>
      </c>
      <c r="G6" s="1">
        <f>Table1[[#This Row],[Units Sold]]*Table1[[#This Row],[Unit Price]]</f>
        <v>140</v>
      </c>
      <c r="H6" s="1" t="str" cm="1">
        <f t="array" ref="H6">_xlfn.IFS(Table1[[#This Row],[Total Revenue]]&gt;1000,"High",Table1[[#This Row],[Total Revenue]]&gt;=500,"Medium",Table1[[#This Row],[Total Revenue]]&lt;500,"Low")</f>
        <v>Low</v>
      </c>
      <c r="I6" s="1">
        <f>Table1[[#This Row],[Total Revenue]]*VLOOKUP(Table1[[#This Row],[Product ID]],Table2[],5,FALSE)</f>
        <v>14</v>
      </c>
      <c r="J6" s="1" t="str">
        <f>TEXT(Table1[[#This Row],[Date]],"mmmm")</f>
        <v>October</v>
      </c>
      <c r="K6" s="1"/>
      <c r="L6" s="1" t="s">
        <v>12</v>
      </c>
      <c r="M6" s="1" t="s">
        <v>26</v>
      </c>
      <c r="N6" s="1" t="s">
        <v>27</v>
      </c>
      <c r="O6" s="8">
        <v>35</v>
      </c>
      <c r="P6" s="4">
        <v>0.1</v>
      </c>
      <c r="R6" s="1" t="s">
        <v>11</v>
      </c>
      <c r="S6" s="1" t="s">
        <v>38</v>
      </c>
    </row>
    <row r="7" spans="1:21" x14ac:dyDescent="0.3">
      <c r="A7" s="1">
        <v>1005</v>
      </c>
      <c r="B7" s="3">
        <v>45568</v>
      </c>
      <c r="C7" s="1" t="s">
        <v>5</v>
      </c>
      <c r="D7" s="1" t="s">
        <v>13</v>
      </c>
      <c r="E7" s="1">
        <v>6</v>
      </c>
      <c r="F7" s="8">
        <f>_xlfn.XLOOKUP(Table1[[#This Row],[Product ID]],Table2[Product ID],Table2[Unit Price])</f>
        <v>25</v>
      </c>
      <c r="G7" s="1">
        <f>Table1[[#This Row],[Units Sold]]*Table1[[#This Row],[Unit Price]]</f>
        <v>150</v>
      </c>
      <c r="H7" s="1" t="str" cm="1">
        <f t="array" ref="H7">_xlfn.IFS(Table1[[#This Row],[Total Revenue]]&gt;1000,"High",Table1[[#This Row],[Total Revenue]]&gt;=500,"Medium",Table1[[#This Row],[Total Revenue]]&lt;500,"Low")</f>
        <v>Low</v>
      </c>
      <c r="I7" s="1">
        <f>Table1[[#This Row],[Total Revenue]]*VLOOKUP(Table1[[#This Row],[Product ID]],Table2[],5,FALSE)</f>
        <v>12</v>
      </c>
      <c r="J7" s="1" t="str">
        <f>TEXT(Table1[[#This Row],[Date]],"mmmm")</f>
        <v>October</v>
      </c>
      <c r="K7" s="1"/>
      <c r="L7" s="1" t="s">
        <v>14</v>
      </c>
      <c r="M7" s="1" t="s">
        <v>28</v>
      </c>
      <c r="N7" s="1" t="s">
        <v>27</v>
      </c>
      <c r="O7" s="8">
        <v>55</v>
      </c>
      <c r="P7" s="4">
        <v>0.1</v>
      </c>
    </row>
    <row r="8" spans="1:21" x14ac:dyDescent="0.3">
      <c r="A8" s="1">
        <v>1006</v>
      </c>
      <c r="B8" s="3">
        <v>45569</v>
      </c>
      <c r="C8" s="1" t="s">
        <v>7</v>
      </c>
      <c r="D8" s="1" t="s">
        <v>14</v>
      </c>
      <c r="E8" s="1">
        <v>2</v>
      </c>
      <c r="F8" s="8">
        <f>_xlfn.XLOOKUP(Table1[[#This Row],[Product ID]],Table2[Product ID],Table2[Unit Price])</f>
        <v>55</v>
      </c>
      <c r="G8" s="1">
        <f>Table1[[#This Row],[Units Sold]]*Table1[[#This Row],[Unit Price]]</f>
        <v>110</v>
      </c>
      <c r="H8" s="1" t="str" cm="1">
        <f t="array" ref="H8">_xlfn.IFS(Table1[[#This Row],[Total Revenue]]&gt;1000,"High",Table1[[#This Row],[Total Revenue]]&gt;=500,"Medium",Table1[[#This Row],[Total Revenue]]&lt;500,"Low")</f>
        <v>Low</v>
      </c>
      <c r="I8" s="1">
        <f>Table1[[#This Row],[Total Revenue]]*VLOOKUP(Table1[[#This Row],[Product ID]],Table2[],5,FALSE)</f>
        <v>11</v>
      </c>
      <c r="J8" s="1" t="str">
        <f>TEXT(Table1[[#This Row],[Date]],"mmmm")</f>
        <v>October</v>
      </c>
      <c r="K8" s="1"/>
      <c r="L8" s="1" t="s">
        <v>17</v>
      </c>
      <c r="M8" s="1" t="s">
        <v>29</v>
      </c>
      <c r="N8" s="1" t="s">
        <v>27</v>
      </c>
      <c r="O8" s="8">
        <v>85</v>
      </c>
      <c r="P8" s="4">
        <v>0.12</v>
      </c>
    </row>
    <row r="9" spans="1:21" ht="18.600000000000001" customHeight="1" x14ac:dyDescent="0.3">
      <c r="A9" s="1">
        <v>1007</v>
      </c>
      <c r="B9" s="3">
        <v>45569</v>
      </c>
      <c r="C9" s="1" t="s">
        <v>9</v>
      </c>
      <c r="D9" s="1" t="s">
        <v>15</v>
      </c>
      <c r="E9" s="1">
        <v>5</v>
      </c>
      <c r="F9" s="8">
        <f>_xlfn.XLOOKUP(Table1[[#This Row],[Product ID]],Table2[Product ID],Table2[Unit Price])</f>
        <v>180</v>
      </c>
      <c r="G9" s="1">
        <f>Table1[[#This Row],[Units Sold]]*Table1[[#This Row],[Unit Price]]</f>
        <v>900</v>
      </c>
      <c r="H9" s="1" t="str" cm="1">
        <f t="array" ref="H9">_xlfn.IFS(Table1[[#This Row],[Total Revenue]]&gt;1000,"High",Table1[[#This Row],[Total Revenue]]&gt;=500,"Medium",Table1[[#This Row],[Total Revenue]]&lt;500,"Low")</f>
        <v>Medium</v>
      </c>
      <c r="I9" s="1">
        <f>Table1[[#This Row],[Total Revenue]]*VLOOKUP(Table1[[#This Row],[Product ID]],Table2[],5,FALSE)</f>
        <v>162</v>
      </c>
      <c r="J9" s="1" t="str">
        <f>TEXT(Table1[[#This Row],[Date]],"mmmm")</f>
        <v>October</v>
      </c>
      <c r="K9" s="1"/>
      <c r="L9" s="1" t="s">
        <v>13</v>
      </c>
      <c r="M9" s="1" t="s">
        <v>30</v>
      </c>
      <c r="N9" s="1" t="s">
        <v>31</v>
      </c>
      <c r="O9" s="8">
        <v>25</v>
      </c>
      <c r="P9" s="4">
        <v>0.08</v>
      </c>
    </row>
    <row r="10" spans="1:21" ht="18" customHeight="1" x14ac:dyDescent="0.3">
      <c r="A10" s="1">
        <v>1008</v>
      </c>
      <c r="B10" s="3">
        <v>45570</v>
      </c>
      <c r="C10" s="1" t="s">
        <v>11</v>
      </c>
      <c r="D10" s="1" t="s">
        <v>16</v>
      </c>
      <c r="E10" s="1">
        <v>1</v>
      </c>
      <c r="F10" s="8">
        <f>_xlfn.XLOOKUP(Table1[[#This Row],[Product ID]],Table2[Product ID],Table2[Unit Price])</f>
        <v>20</v>
      </c>
      <c r="G10" s="1">
        <f>Table1[[#This Row],[Units Sold]]*Table1[[#This Row],[Unit Price]]</f>
        <v>20</v>
      </c>
      <c r="H10" s="1" t="str" cm="1">
        <f t="array" ref="H10">_xlfn.IFS(Table1[[#This Row],[Total Revenue]]&gt;1000,"High",Table1[[#This Row],[Total Revenue]]&gt;=500,"Medium",Table1[[#This Row],[Total Revenue]]&lt;500,"Low")</f>
        <v>Low</v>
      </c>
      <c r="I10" s="1">
        <f>Table1[[#This Row],[Total Revenue]]*VLOOKUP(Table1[[#This Row],[Product ID]],Table2[],5,FALSE)</f>
        <v>1.6</v>
      </c>
      <c r="J10" s="1" t="str">
        <f>TEXT(Table1[[#This Row],[Date]],"mmmm")</f>
        <v>October</v>
      </c>
      <c r="K10" s="1"/>
      <c r="L10" s="1" t="s">
        <v>16</v>
      </c>
      <c r="M10" s="1" t="s">
        <v>32</v>
      </c>
      <c r="N10" s="1" t="s">
        <v>31</v>
      </c>
      <c r="O10" s="8">
        <v>20</v>
      </c>
      <c r="P10" s="4">
        <v>0.08</v>
      </c>
    </row>
    <row r="11" spans="1:21" ht="18" customHeight="1" x14ac:dyDescent="0.3">
      <c r="A11" s="1">
        <v>1009</v>
      </c>
      <c r="B11" s="3">
        <v>45571</v>
      </c>
      <c r="C11" s="1" t="s">
        <v>5</v>
      </c>
      <c r="D11" s="1" t="s">
        <v>17</v>
      </c>
      <c r="E11" s="1">
        <v>3</v>
      </c>
      <c r="F11" s="8">
        <f>_xlfn.XLOOKUP(Table1[[#This Row],[Product ID]],Table2[Product ID],Table2[Unit Price])</f>
        <v>85</v>
      </c>
      <c r="G11" s="1">
        <f>Table1[[#This Row],[Units Sold]]*Table1[[#This Row],[Unit Price]]</f>
        <v>255</v>
      </c>
      <c r="H11" s="1" t="str" cm="1">
        <f t="array" ref="H11">_xlfn.IFS(Table1[[#This Row],[Total Revenue]]&gt;1000,"High",Table1[[#This Row],[Total Revenue]]&gt;=500,"Medium",Table1[[#This Row],[Total Revenue]]&lt;500,"Low")</f>
        <v>Low</v>
      </c>
      <c r="I11" s="1">
        <f>Table1[[#This Row],[Total Revenue]]*VLOOKUP(Table1[[#This Row],[Product ID]],Table2[],5,FALSE)</f>
        <v>30.599999999999998</v>
      </c>
      <c r="J11" s="1" t="str">
        <f>TEXT(Table1[[#This Row],[Date]],"mmmm")</f>
        <v>October</v>
      </c>
      <c r="K11" s="1"/>
      <c r="L11" s="1" t="s">
        <v>8</v>
      </c>
      <c r="M11" s="1" t="s">
        <v>33</v>
      </c>
      <c r="N11" s="1" t="s">
        <v>31</v>
      </c>
      <c r="O11" s="8">
        <v>50</v>
      </c>
      <c r="P11" s="4">
        <v>0.1</v>
      </c>
    </row>
    <row r="12" spans="1:21" x14ac:dyDescent="0.3">
      <c r="A12" s="1">
        <v>1010</v>
      </c>
      <c r="B12" s="3">
        <v>45571</v>
      </c>
      <c r="C12" s="1" t="s">
        <v>7</v>
      </c>
      <c r="D12" s="1" t="s">
        <v>6</v>
      </c>
      <c r="E12" s="1">
        <v>2</v>
      </c>
      <c r="F12" s="8">
        <f>_xlfn.XLOOKUP(Table1[[#This Row],[Product ID]],Table2[Product ID],Table2[Unit Price])</f>
        <v>120</v>
      </c>
      <c r="G12" s="1">
        <f>Table1[[#This Row],[Units Sold]]*Table1[[#This Row],[Unit Price]]</f>
        <v>240</v>
      </c>
      <c r="H12" s="1" t="str" cm="1">
        <f t="array" ref="H12">_xlfn.IFS(Table1[[#This Row],[Total Revenue]]&gt;1000,"High",Table1[[#This Row],[Total Revenue]]&gt;=500,"Medium",Table1[[#This Row],[Total Revenue]]&lt;500,"Low")</f>
        <v>Low</v>
      </c>
      <c r="I12" s="1">
        <f>Table1[[#This Row],[Total Revenue]]*VLOOKUP(Table1[[#This Row],[Product ID]],Table2[],5,FALSE)</f>
        <v>36</v>
      </c>
      <c r="J12" s="1" t="str">
        <f>TEXT(Table1[[#This Row],[Date]],"mmmm")</f>
        <v>October</v>
      </c>
      <c r="K12" s="1"/>
    </row>
    <row r="13" spans="1:21" x14ac:dyDescent="0.3">
      <c r="A13" s="1">
        <v>1011</v>
      </c>
      <c r="B13" s="3">
        <v>45573</v>
      </c>
      <c r="C13" s="1" t="s">
        <v>9</v>
      </c>
      <c r="D13" s="1" t="s">
        <v>8</v>
      </c>
      <c r="E13" s="1">
        <v>4</v>
      </c>
      <c r="F13" s="8">
        <f>_xlfn.XLOOKUP(Table1[[#This Row],[Product ID]],Table2[Product ID],Table2[Unit Price])</f>
        <v>50</v>
      </c>
      <c r="G13" s="1">
        <f>Table1[[#This Row],[Units Sold]]*Table1[[#This Row],[Unit Price]]</f>
        <v>200</v>
      </c>
      <c r="H13" s="1" t="str" cm="1">
        <f t="array" ref="H13">_xlfn.IFS(Table1[[#This Row],[Total Revenue]]&gt;1000,"High",Table1[[#This Row],[Total Revenue]]&gt;=500,"Medium",Table1[[#This Row],[Total Revenue]]&lt;500,"Low")</f>
        <v>Low</v>
      </c>
      <c r="I13" s="1">
        <f>Table1[[#This Row],[Total Revenue]]*VLOOKUP(Table1[[#This Row],[Product ID]],Table2[],5,FALSE)</f>
        <v>20</v>
      </c>
      <c r="J13" s="1" t="str">
        <f>TEXT(Table1[[#This Row],[Date]],"mmmm")</f>
        <v>October</v>
      </c>
      <c r="K13" s="1"/>
    </row>
    <row r="14" spans="1:21" x14ac:dyDescent="0.3">
      <c r="A14" s="1">
        <v>1012</v>
      </c>
      <c r="B14" s="3">
        <v>45574</v>
      </c>
      <c r="C14" s="1" t="s">
        <v>11</v>
      </c>
      <c r="D14" s="1" t="s">
        <v>10</v>
      </c>
      <c r="E14" s="1">
        <v>5</v>
      </c>
      <c r="F14" s="8">
        <f>_xlfn.XLOOKUP(Table1[[#This Row],[Product ID]],Table2[Product ID],Table2[Unit Price])</f>
        <v>150</v>
      </c>
      <c r="G14" s="1">
        <f>Table1[[#This Row],[Units Sold]]*Table1[[#This Row],[Unit Price]]</f>
        <v>750</v>
      </c>
      <c r="H14" s="1" t="str" cm="1">
        <f t="array" ref="H14">_xlfn.IFS(Table1[[#This Row],[Total Revenue]]&gt;1000,"High",Table1[[#This Row],[Total Revenue]]&gt;=500,"Medium",Table1[[#This Row],[Total Revenue]]&lt;500,"Low")</f>
        <v>Medium</v>
      </c>
      <c r="I14" s="1">
        <f>Table1[[#This Row],[Total Revenue]]*VLOOKUP(Table1[[#This Row],[Product ID]],Table2[],5,FALSE)</f>
        <v>112.5</v>
      </c>
      <c r="J14" s="1" t="str">
        <f>TEXT(Table1[[#This Row],[Date]],"mmmm")</f>
        <v>October</v>
      </c>
      <c r="K14" s="1"/>
    </row>
    <row r="15" spans="1:21" x14ac:dyDescent="0.3">
      <c r="A15" s="1">
        <v>1013</v>
      </c>
      <c r="B15" s="3">
        <v>45575</v>
      </c>
      <c r="C15" s="1" t="s">
        <v>5</v>
      </c>
      <c r="D15" s="1" t="s">
        <v>12</v>
      </c>
      <c r="E15" s="1">
        <v>3</v>
      </c>
      <c r="F15" s="8">
        <f>_xlfn.XLOOKUP(Table1[[#This Row],[Product ID]],Table2[Product ID],Table2[Unit Price])</f>
        <v>35</v>
      </c>
      <c r="G15" s="1">
        <f>Table1[[#This Row],[Units Sold]]*Table1[[#This Row],[Unit Price]]</f>
        <v>105</v>
      </c>
      <c r="H15" s="1" t="str" cm="1">
        <f t="array" ref="H15">_xlfn.IFS(Table1[[#This Row],[Total Revenue]]&gt;1000,"High",Table1[[#This Row],[Total Revenue]]&gt;=500,"Medium",Table1[[#This Row],[Total Revenue]]&lt;500,"Low")</f>
        <v>Low</v>
      </c>
      <c r="I15" s="1">
        <f>Table1[[#This Row],[Total Revenue]]*VLOOKUP(Table1[[#This Row],[Product ID]],Table2[],5,FALSE)</f>
        <v>10.5</v>
      </c>
      <c r="J15" s="1" t="str">
        <f>TEXT(Table1[[#This Row],[Date]],"mmmm")</f>
        <v>October</v>
      </c>
      <c r="K15" s="1"/>
    </row>
    <row r="16" spans="1:21" x14ac:dyDescent="0.3">
      <c r="A16" s="1">
        <v>1014</v>
      </c>
      <c r="B16" s="3">
        <v>45576</v>
      </c>
      <c r="C16" s="1" t="s">
        <v>7</v>
      </c>
      <c r="D16" s="1" t="s">
        <v>13</v>
      </c>
      <c r="E16" s="1">
        <v>6</v>
      </c>
      <c r="F16" s="8">
        <f>_xlfn.XLOOKUP(Table1[[#This Row],[Product ID]],Table2[Product ID],Table2[Unit Price])</f>
        <v>25</v>
      </c>
      <c r="G16" s="1">
        <f>Table1[[#This Row],[Units Sold]]*Table1[[#This Row],[Unit Price]]</f>
        <v>150</v>
      </c>
      <c r="H16" s="1" t="str" cm="1">
        <f t="array" ref="H16">_xlfn.IFS(Table1[[#This Row],[Total Revenue]]&gt;1000,"High",Table1[[#This Row],[Total Revenue]]&gt;=500,"Medium",Table1[[#This Row],[Total Revenue]]&lt;500,"Low")</f>
        <v>Low</v>
      </c>
      <c r="I16" s="1">
        <f>Table1[[#This Row],[Total Revenue]]*VLOOKUP(Table1[[#This Row],[Product ID]],Table2[],5,FALSE)</f>
        <v>12</v>
      </c>
      <c r="J16" s="1" t="str">
        <f>TEXT(Table1[[#This Row],[Date]],"mmmm")</f>
        <v>October</v>
      </c>
      <c r="K16" s="1"/>
    </row>
    <row r="17" spans="1:11" x14ac:dyDescent="0.3">
      <c r="A17" s="1">
        <v>1015</v>
      </c>
      <c r="B17" s="3">
        <v>45577</v>
      </c>
      <c r="C17" s="1" t="s">
        <v>9</v>
      </c>
      <c r="D17" s="1" t="s">
        <v>15</v>
      </c>
      <c r="E17" s="1">
        <v>2</v>
      </c>
      <c r="F17" s="8">
        <f>_xlfn.XLOOKUP(Table1[[#This Row],[Product ID]],Table2[Product ID],Table2[Unit Price])</f>
        <v>180</v>
      </c>
      <c r="G17" s="1">
        <f>Table1[[#This Row],[Units Sold]]*Table1[[#This Row],[Unit Price]]</f>
        <v>360</v>
      </c>
      <c r="H17" s="1" t="str" cm="1">
        <f t="array" ref="H17">_xlfn.IFS(Table1[[#This Row],[Total Revenue]]&gt;1000,"High",Table1[[#This Row],[Total Revenue]]&gt;=500,"Medium",Table1[[#This Row],[Total Revenue]]&lt;500,"Low")</f>
        <v>Low</v>
      </c>
      <c r="I17" s="1">
        <f>Table1[[#This Row],[Total Revenue]]*VLOOKUP(Table1[[#This Row],[Product ID]],Table2[],5,FALSE)</f>
        <v>64.8</v>
      </c>
      <c r="J17" s="1" t="str">
        <f>TEXT(Table1[[#This Row],[Date]],"mmmm")</f>
        <v>October</v>
      </c>
      <c r="K17" s="1"/>
    </row>
    <row r="18" spans="1:11" x14ac:dyDescent="0.3">
      <c r="A18" s="1">
        <v>1016</v>
      </c>
      <c r="B18" s="3">
        <v>45578</v>
      </c>
      <c r="C18" s="1" t="s">
        <v>11</v>
      </c>
      <c r="D18" s="1" t="s">
        <v>14</v>
      </c>
      <c r="E18" s="1">
        <v>4</v>
      </c>
      <c r="F18" s="8">
        <f>_xlfn.XLOOKUP(Table1[[#This Row],[Product ID]],Table2[Product ID],Table2[Unit Price])</f>
        <v>55</v>
      </c>
      <c r="G18" s="1">
        <f>Table1[[#This Row],[Units Sold]]*Table1[[#This Row],[Unit Price]]</f>
        <v>220</v>
      </c>
      <c r="H18" s="1" t="str" cm="1">
        <f t="array" ref="H18">_xlfn.IFS(Table1[[#This Row],[Total Revenue]]&gt;1000,"High",Table1[[#This Row],[Total Revenue]]&gt;=500,"Medium",Table1[[#This Row],[Total Revenue]]&lt;500,"Low")</f>
        <v>Low</v>
      </c>
      <c r="I18" s="1">
        <f>Table1[[#This Row],[Total Revenue]]*VLOOKUP(Table1[[#This Row],[Product ID]],Table2[],5,FALSE)</f>
        <v>22</v>
      </c>
      <c r="J18" s="1" t="str">
        <f>TEXT(Table1[[#This Row],[Date]],"mmmm")</f>
        <v>October</v>
      </c>
      <c r="K18" s="1"/>
    </row>
    <row r="19" spans="1:11" x14ac:dyDescent="0.3">
      <c r="A19" s="1">
        <v>1017</v>
      </c>
      <c r="B19" s="3">
        <v>45579</v>
      </c>
      <c r="C19" s="1" t="s">
        <v>5</v>
      </c>
      <c r="D19" s="1" t="s">
        <v>16</v>
      </c>
      <c r="E19" s="1">
        <v>1</v>
      </c>
      <c r="F19" s="8">
        <f>_xlfn.XLOOKUP(Table1[[#This Row],[Product ID]],Table2[Product ID],Table2[Unit Price])</f>
        <v>20</v>
      </c>
      <c r="G19" s="1">
        <f>Table1[[#This Row],[Units Sold]]*Table1[[#This Row],[Unit Price]]</f>
        <v>20</v>
      </c>
      <c r="H19" s="1" t="str" cm="1">
        <f t="array" ref="H19">_xlfn.IFS(Table1[[#This Row],[Total Revenue]]&gt;1000,"High",Table1[[#This Row],[Total Revenue]]&gt;=500,"Medium",Table1[[#This Row],[Total Revenue]]&lt;500,"Low")</f>
        <v>Low</v>
      </c>
      <c r="I19" s="1">
        <f>Table1[[#This Row],[Total Revenue]]*VLOOKUP(Table1[[#This Row],[Product ID]],Table2[],5,FALSE)</f>
        <v>1.6</v>
      </c>
      <c r="J19" s="1" t="str">
        <f>TEXT(Table1[[#This Row],[Date]],"mmmm")</f>
        <v>October</v>
      </c>
      <c r="K19" s="1"/>
    </row>
    <row r="20" spans="1:11" x14ac:dyDescent="0.3">
      <c r="A20" s="1">
        <v>1018</v>
      </c>
      <c r="B20" s="3">
        <v>45580</v>
      </c>
      <c r="C20" s="1" t="s">
        <v>7</v>
      </c>
      <c r="D20" s="1" t="s">
        <v>10</v>
      </c>
      <c r="E20" s="1">
        <v>5</v>
      </c>
      <c r="F20" s="8">
        <f>_xlfn.XLOOKUP(Table1[[#This Row],[Product ID]],Table2[Product ID],Table2[Unit Price])</f>
        <v>150</v>
      </c>
      <c r="G20" s="1">
        <f>Table1[[#This Row],[Units Sold]]*Table1[[#This Row],[Unit Price]]</f>
        <v>750</v>
      </c>
      <c r="H20" s="1" t="str" cm="1">
        <f t="array" ref="H20">_xlfn.IFS(Table1[[#This Row],[Total Revenue]]&gt;1000,"High",Table1[[#This Row],[Total Revenue]]&gt;=500,"Medium",Table1[[#This Row],[Total Revenue]]&lt;500,"Low")</f>
        <v>Medium</v>
      </c>
      <c r="I20" s="1">
        <f>Table1[[#This Row],[Total Revenue]]*VLOOKUP(Table1[[#This Row],[Product ID]],Table2[],5,FALSE)</f>
        <v>112.5</v>
      </c>
      <c r="J20" s="1" t="str">
        <f>TEXT(Table1[[#This Row],[Date]],"mmmm")</f>
        <v>October</v>
      </c>
      <c r="K20" s="1"/>
    </row>
    <row r="21" spans="1:11" x14ac:dyDescent="0.3">
      <c r="A21" s="1">
        <v>1019</v>
      </c>
      <c r="B21" s="3">
        <v>45581</v>
      </c>
      <c r="C21" s="1" t="s">
        <v>9</v>
      </c>
      <c r="D21" s="1" t="s">
        <v>17</v>
      </c>
      <c r="E21" s="1">
        <v>3</v>
      </c>
      <c r="F21" s="8">
        <f>_xlfn.XLOOKUP(Table1[[#This Row],[Product ID]],Table2[Product ID],Table2[Unit Price])</f>
        <v>85</v>
      </c>
      <c r="G21" s="1">
        <f>Table1[[#This Row],[Units Sold]]*Table1[[#This Row],[Unit Price]]</f>
        <v>255</v>
      </c>
      <c r="H21" s="1" t="str" cm="1">
        <f t="array" ref="H21">_xlfn.IFS(Table1[[#This Row],[Total Revenue]]&gt;1000,"High",Table1[[#This Row],[Total Revenue]]&gt;=500,"Medium",Table1[[#This Row],[Total Revenue]]&lt;500,"Low")</f>
        <v>Low</v>
      </c>
      <c r="I21" s="1">
        <f>Table1[[#This Row],[Total Revenue]]*VLOOKUP(Table1[[#This Row],[Product ID]],Table2[],5,FALSE)</f>
        <v>30.599999999999998</v>
      </c>
      <c r="J21" s="1" t="str">
        <f>TEXT(Table1[[#This Row],[Date]],"mmmm")</f>
        <v>October</v>
      </c>
      <c r="K21" s="1"/>
    </row>
    <row r="22" spans="1:11" x14ac:dyDescent="0.3">
      <c r="A22" s="1">
        <v>1020</v>
      </c>
      <c r="B22" s="3">
        <v>45582</v>
      </c>
      <c r="C22" s="1" t="s">
        <v>11</v>
      </c>
      <c r="D22" s="1" t="s">
        <v>6</v>
      </c>
      <c r="E22" s="1">
        <v>6</v>
      </c>
      <c r="F22" s="8">
        <f>_xlfn.XLOOKUP(Table1[[#This Row],[Product ID]],Table2[Product ID],Table2[Unit Price])</f>
        <v>120</v>
      </c>
      <c r="G22" s="1">
        <f>Table1[[#This Row],[Units Sold]]*Table1[[#This Row],[Unit Price]]</f>
        <v>720</v>
      </c>
      <c r="H22" s="1" t="str" cm="1">
        <f t="array" ref="H22">_xlfn.IFS(Table1[[#This Row],[Total Revenue]]&gt;1000,"High",Table1[[#This Row],[Total Revenue]]&gt;=500,"Medium",Table1[[#This Row],[Total Revenue]]&lt;500,"Low")</f>
        <v>Medium</v>
      </c>
      <c r="I22" s="1">
        <f>Table1[[#This Row],[Total Revenue]]*VLOOKUP(Table1[[#This Row],[Product ID]],Table2[],5,FALSE)</f>
        <v>108</v>
      </c>
      <c r="J22" s="1" t="str">
        <f>TEXT(Table1[[#This Row],[Date]],"mmmm")</f>
        <v>October</v>
      </c>
      <c r="K22" s="1"/>
    </row>
    <row r="23" spans="1:11" x14ac:dyDescent="0.3">
      <c r="A23" s="1">
        <v>1021</v>
      </c>
      <c r="B23" s="3">
        <v>45597</v>
      </c>
      <c r="C23" s="1" t="s">
        <v>5</v>
      </c>
      <c r="D23" s="1" t="s">
        <v>8</v>
      </c>
      <c r="E23" s="1">
        <v>3</v>
      </c>
      <c r="F23" s="8">
        <f>_xlfn.XLOOKUP(Table1[[#This Row],[Product ID]],Table2[Product ID],Table2[Unit Price])</f>
        <v>50</v>
      </c>
      <c r="G23" s="1">
        <f>Table1[[#This Row],[Units Sold]]*Table1[[#This Row],[Unit Price]]</f>
        <v>150</v>
      </c>
      <c r="H23" s="1" t="str" cm="1">
        <f t="array" ref="H23">_xlfn.IFS(Table1[[#This Row],[Total Revenue]]&gt;1000,"High",Table1[[#This Row],[Total Revenue]]&gt;=500,"Medium",Table1[[#This Row],[Total Revenue]]&lt;500,"Low")</f>
        <v>Low</v>
      </c>
      <c r="I23" s="1">
        <f>Table1[[#This Row],[Total Revenue]]*VLOOKUP(Table1[[#This Row],[Product ID]],Table2[],5,FALSE)</f>
        <v>15</v>
      </c>
      <c r="J23" s="1" t="str">
        <f>TEXT(Table1[[#This Row],[Date]],"mmmm")</f>
        <v>November</v>
      </c>
      <c r="K23" s="1"/>
    </row>
    <row r="24" spans="1:11" x14ac:dyDescent="0.3">
      <c r="A24" s="1">
        <v>1022</v>
      </c>
      <c r="B24" s="3">
        <v>45598</v>
      </c>
      <c r="C24" s="1" t="s">
        <v>7</v>
      </c>
      <c r="D24" s="1" t="s">
        <v>15</v>
      </c>
      <c r="E24" s="1">
        <v>5</v>
      </c>
      <c r="F24" s="8">
        <f>_xlfn.XLOOKUP(Table1[[#This Row],[Product ID]],Table2[Product ID],Table2[Unit Price])</f>
        <v>180</v>
      </c>
      <c r="G24" s="1">
        <f>Table1[[#This Row],[Units Sold]]*Table1[[#This Row],[Unit Price]]</f>
        <v>900</v>
      </c>
      <c r="H24" s="1" t="str" cm="1">
        <f t="array" ref="H24">_xlfn.IFS(Table1[[#This Row],[Total Revenue]]&gt;1000,"High",Table1[[#This Row],[Total Revenue]]&gt;=500,"Medium",Table1[[#This Row],[Total Revenue]]&lt;500,"Low")</f>
        <v>Medium</v>
      </c>
      <c r="I24" s="1">
        <f>Table1[[#This Row],[Total Revenue]]*VLOOKUP(Table1[[#This Row],[Product ID]],Table2[],5,FALSE)</f>
        <v>162</v>
      </c>
      <c r="J24" s="1" t="str">
        <f>TEXT(Table1[[#This Row],[Date]],"mmmm")</f>
        <v>November</v>
      </c>
      <c r="K24" s="1"/>
    </row>
    <row r="25" spans="1:11" x14ac:dyDescent="0.3">
      <c r="A25" s="1">
        <v>1023</v>
      </c>
      <c r="B25" s="3">
        <v>45599</v>
      </c>
      <c r="C25" s="1" t="s">
        <v>9</v>
      </c>
      <c r="D25" s="1" t="s">
        <v>12</v>
      </c>
      <c r="E25" s="1">
        <v>4</v>
      </c>
      <c r="F25" s="8">
        <f>_xlfn.XLOOKUP(Table1[[#This Row],[Product ID]],Table2[Product ID],Table2[Unit Price])</f>
        <v>35</v>
      </c>
      <c r="G25" s="1">
        <f>Table1[[#This Row],[Units Sold]]*Table1[[#This Row],[Unit Price]]</f>
        <v>140</v>
      </c>
      <c r="H25" s="1" t="str" cm="1">
        <f t="array" ref="H25">_xlfn.IFS(Table1[[#This Row],[Total Revenue]]&gt;1000,"High",Table1[[#This Row],[Total Revenue]]&gt;=500,"Medium",Table1[[#This Row],[Total Revenue]]&lt;500,"Low")</f>
        <v>Low</v>
      </c>
      <c r="I25" s="1">
        <f>Table1[[#This Row],[Total Revenue]]*VLOOKUP(Table1[[#This Row],[Product ID]],Table2[],5,FALSE)</f>
        <v>14</v>
      </c>
      <c r="J25" s="1" t="str">
        <f>TEXT(Table1[[#This Row],[Date]],"mmmm")</f>
        <v>November</v>
      </c>
      <c r="K25" s="1"/>
    </row>
    <row r="26" spans="1:11" x14ac:dyDescent="0.3">
      <c r="A26" s="1">
        <v>1024</v>
      </c>
      <c r="B26" s="3">
        <v>45600</v>
      </c>
      <c r="C26" s="1" t="s">
        <v>11</v>
      </c>
      <c r="D26" s="1" t="s">
        <v>13</v>
      </c>
      <c r="E26" s="1">
        <v>2</v>
      </c>
      <c r="F26" s="8">
        <f>_xlfn.XLOOKUP(Table1[[#This Row],[Product ID]],Table2[Product ID],Table2[Unit Price])</f>
        <v>25</v>
      </c>
      <c r="G26" s="1">
        <f>Table1[[#This Row],[Units Sold]]*Table1[[#This Row],[Unit Price]]</f>
        <v>50</v>
      </c>
      <c r="H26" s="1" t="str" cm="1">
        <f t="array" ref="H26">_xlfn.IFS(Table1[[#This Row],[Total Revenue]]&gt;1000,"High",Table1[[#This Row],[Total Revenue]]&gt;=500,"Medium",Table1[[#This Row],[Total Revenue]]&lt;500,"Low")</f>
        <v>Low</v>
      </c>
      <c r="I26" s="1">
        <f>Table1[[#This Row],[Total Revenue]]*VLOOKUP(Table1[[#This Row],[Product ID]],Table2[],5,FALSE)</f>
        <v>4</v>
      </c>
      <c r="J26" s="1" t="str">
        <f>TEXT(Table1[[#This Row],[Date]],"mmmm")</f>
        <v>November</v>
      </c>
      <c r="K26" s="1"/>
    </row>
    <row r="27" spans="1:11" x14ac:dyDescent="0.3">
      <c r="A27" s="1">
        <v>1025</v>
      </c>
      <c r="B27" s="3">
        <v>45601</v>
      </c>
      <c r="C27" s="1" t="s">
        <v>5</v>
      </c>
      <c r="D27" s="1" t="s">
        <v>14</v>
      </c>
      <c r="E27" s="1">
        <v>6</v>
      </c>
      <c r="F27" s="8">
        <f>_xlfn.XLOOKUP(Table1[[#This Row],[Product ID]],Table2[Product ID],Table2[Unit Price])</f>
        <v>55</v>
      </c>
      <c r="G27" s="1">
        <f>Table1[[#This Row],[Units Sold]]*Table1[[#This Row],[Unit Price]]</f>
        <v>330</v>
      </c>
      <c r="H27" s="1" t="str" cm="1">
        <f t="array" ref="H27">_xlfn.IFS(Table1[[#This Row],[Total Revenue]]&gt;1000,"High",Table1[[#This Row],[Total Revenue]]&gt;=500,"Medium",Table1[[#This Row],[Total Revenue]]&lt;500,"Low")</f>
        <v>Low</v>
      </c>
      <c r="I27" s="1">
        <f>Table1[[#This Row],[Total Revenue]]*VLOOKUP(Table1[[#This Row],[Product ID]],Table2[],5,FALSE)</f>
        <v>33</v>
      </c>
      <c r="J27" s="1" t="str">
        <f>TEXT(Table1[[#This Row],[Date]],"mmmm")</f>
        <v>November</v>
      </c>
      <c r="K27" s="1"/>
    </row>
    <row r="28" spans="1:11" x14ac:dyDescent="0.3">
      <c r="A28" s="1">
        <v>1026</v>
      </c>
      <c r="B28" s="3">
        <v>45602</v>
      </c>
      <c r="C28" s="1" t="s">
        <v>7</v>
      </c>
      <c r="D28" s="1" t="s">
        <v>16</v>
      </c>
      <c r="E28" s="1">
        <v>1</v>
      </c>
      <c r="F28" s="8">
        <f>_xlfn.XLOOKUP(Table1[[#This Row],[Product ID]],Table2[Product ID],Table2[Unit Price])</f>
        <v>20</v>
      </c>
      <c r="G28" s="1">
        <f>Table1[[#This Row],[Units Sold]]*Table1[[#This Row],[Unit Price]]</f>
        <v>20</v>
      </c>
      <c r="H28" s="1" t="str" cm="1">
        <f t="array" ref="H28">_xlfn.IFS(Table1[[#This Row],[Total Revenue]]&gt;1000,"High",Table1[[#This Row],[Total Revenue]]&gt;=500,"Medium",Table1[[#This Row],[Total Revenue]]&lt;500,"Low")</f>
        <v>Low</v>
      </c>
      <c r="I28" s="1">
        <f>Table1[[#This Row],[Total Revenue]]*VLOOKUP(Table1[[#This Row],[Product ID]],Table2[],5,FALSE)</f>
        <v>1.6</v>
      </c>
      <c r="J28" s="1" t="str">
        <f>TEXT(Table1[[#This Row],[Date]],"mmmm")</f>
        <v>November</v>
      </c>
      <c r="K28" s="1"/>
    </row>
    <row r="29" spans="1:11" x14ac:dyDescent="0.3">
      <c r="A29" s="1">
        <v>1027</v>
      </c>
      <c r="B29" s="3">
        <v>45603</v>
      </c>
      <c r="C29" s="1" t="s">
        <v>9</v>
      </c>
      <c r="D29" s="1" t="s">
        <v>6</v>
      </c>
      <c r="E29" s="1">
        <v>4</v>
      </c>
      <c r="F29" s="8">
        <f>_xlfn.XLOOKUP(Table1[[#This Row],[Product ID]],Table2[Product ID],Table2[Unit Price])</f>
        <v>120</v>
      </c>
      <c r="G29" s="1">
        <f>Table1[[#This Row],[Units Sold]]*Table1[[#This Row],[Unit Price]]</f>
        <v>480</v>
      </c>
      <c r="H29" s="1" t="str" cm="1">
        <f t="array" ref="H29">_xlfn.IFS(Table1[[#This Row],[Total Revenue]]&gt;1000,"High",Table1[[#This Row],[Total Revenue]]&gt;=500,"Medium",Table1[[#This Row],[Total Revenue]]&lt;500,"Low")</f>
        <v>Low</v>
      </c>
      <c r="I29" s="1">
        <f>Table1[[#This Row],[Total Revenue]]*VLOOKUP(Table1[[#This Row],[Product ID]],Table2[],5,FALSE)</f>
        <v>72</v>
      </c>
      <c r="J29" s="1" t="str">
        <f>TEXT(Table1[[#This Row],[Date]],"mmmm")</f>
        <v>November</v>
      </c>
      <c r="K29" s="1"/>
    </row>
    <row r="30" spans="1:11" x14ac:dyDescent="0.3">
      <c r="A30" s="1">
        <v>1028</v>
      </c>
      <c r="B30" s="3">
        <v>45604</v>
      </c>
      <c r="C30" s="1" t="s">
        <v>11</v>
      </c>
      <c r="D30" s="1" t="s">
        <v>10</v>
      </c>
      <c r="E30" s="1">
        <v>2</v>
      </c>
      <c r="F30" s="8">
        <f>_xlfn.XLOOKUP(Table1[[#This Row],[Product ID]],Table2[Product ID],Table2[Unit Price])</f>
        <v>150</v>
      </c>
      <c r="G30" s="1">
        <f>Table1[[#This Row],[Units Sold]]*Table1[[#This Row],[Unit Price]]</f>
        <v>300</v>
      </c>
      <c r="H30" s="1" t="str" cm="1">
        <f t="array" ref="H30">_xlfn.IFS(Table1[[#This Row],[Total Revenue]]&gt;1000,"High",Table1[[#This Row],[Total Revenue]]&gt;=500,"Medium",Table1[[#This Row],[Total Revenue]]&lt;500,"Low")</f>
        <v>Low</v>
      </c>
      <c r="I30" s="1">
        <f>Table1[[#This Row],[Total Revenue]]*VLOOKUP(Table1[[#This Row],[Product ID]],Table2[],5,FALSE)</f>
        <v>45</v>
      </c>
      <c r="J30" s="1" t="str">
        <f>TEXT(Table1[[#This Row],[Date]],"mmmm")</f>
        <v>November</v>
      </c>
      <c r="K30" s="1"/>
    </row>
    <row r="31" spans="1:11" x14ac:dyDescent="0.3">
      <c r="A31" s="1">
        <v>1029</v>
      </c>
      <c r="B31" s="3">
        <v>45605</v>
      </c>
      <c r="C31" s="1" t="s">
        <v>5</v>
      </c>
      <c r="D31" s="1" t="s">
        <v>17</v>
      </c>
      <c r="E31" s="1">
        <v>3</v>
      </c>
      <c r="F31" s="8">
        <f>_xlfn.XLOOKUP(Table1[[#This Row],[Product ID]],Table2[Product ID],Table2[Unit Price])</f>
        <v>85</v>
      </c>
      <c r="G31" s="1">
        <f>Table1[[#This Row],[Units Sold]]*Table1[[#This Row],[Unit Price]]</f>
        <v>255</v>
      </c>
      <c r="H31" s="1" t="str" cm="1">
        <f t="array" ref="H31">_xlfn.IFS(Table1[[#This Row],[Total Revenue]]&gt;1000,"High",Table1[[#This Row],[Total Revenue]]&gt;=500,"Medium",Table1[[#This Row],[Total Revenue]]&lt;500,"Low")</f>
        <v>Low</v>
      </c>
      <c r="I31" s="1">
        <f>Table1[[#This Row],[Total Revenue]]*VLOOKUP(Table1[[#This Row],[Product ID]],Table2[],5,FALSE)</f>
        <v>30.599999999999998</v>
      </c>
      <c r="J31" s="1" t="str">
        <f>TEXT(Table1[[#This Row],[Date]],"mmmm")</f>
        <v>November</v>
      </c>
      <c r="K31" s="1"/>
    </row>
    <row r="32" spans="1:11" x14ac:dyDescent="0.3">
      <c r="A32" s="1">
        <v>1030</v>
      </c>
      <c r="B32" s="3">
        <v>45606</v>
      </c>
      <c r="C32" s="1" t="s">
        <v>7</v>
      </c>
      <c r="D32" s="1" t="s">
        <v>8</v>
      </c>
      <c r="E32" s="1">
        <v>5</v>
      </c>
      <c r="F32" s="8">
        <f>_xlfn.XLOOKUP(Table1[[#This Row],[Product ID]],Table2[Product ID],Table2[Unit Price])</f>
        <v>50</v>
      </c>
      <c r="G32" s="1">
        <f>Table1[[#This Row],[Units Sold]]*Table1[[#This Row],[Unit Price]]</f>
        <v>250</v>
      </c>
      <c r="H32" s="1" t="str" cm="1">
        <f t="array" ref="H32">_xlfn.IFS(Table1[[#This Row],[Total Revenue]]&gt;1000,"High",Table1[[#This Row],[Total Revenue]]&gt;=500,"Medium",Table1[[#This Row],[Total Revenue]]&lt;500,"Low")</f>
        <v>Low</v>
      </c>
      <c r="I32" s="1">
        <f>Table1[[#This Row],[Total Revenue]]*VLOOKUP(Table1[[#This Row],[Product ID]],Table2[],5,FALSE)</f>
        <v>25</v>
      </c>
      <c r="J32" s="1" t="str">
        <f>TEXT(Table1[[#This Row],[Date]],"mmmm")</f>
        <v>November</v>
      </c>
      <c r="K32" s="1"/>
    </row>
    <row r="33" spans="1:11" x14ac:dyDescent="0.3">
      <c r="A33" s="1">
        <v>1031</v>
      </c>
      <c r="B33" s="3">
        <v>45611</v>
      </c>
      <c r="C33" s="1" t="s">
        <v>9</v>
      </c>
      <c r="D33" s="1" t="s">
        <v>15</v>
      </c>
      <c r="E33" s="1">
        <v>2</v>
      </c>
      <c r="F33" s="8">
        <f>_xlfn.XLOOKUP(Table1[[#This Row],[Product ID]],Table2[Product ID],Table2[Unit Price])</f>
        <v>180</v>
      </c>
      <c r="G33" s="1">
        <f>Table1[[#This Row],[Units Sold]]*Table1[[#This Row],[Unit Price]]</f>
        <v>360</v>
      </c>
      <c r="H33" s="1" t="str" cm="1">
        <f t="array" ref="H33">_xlfn.IFS(Table1[[#This Row],[Total Revenue]]&gt;1000,"High",Table1[[#This Row],[Total Revenue]]&gt;=500,"Medium",Table1[[#This Row],[Total Revenue]]&lt;500,"Low")</f>
        <v>Low</v>
      </c>
      <c r="I33" s="1">
        <f>Table1[[#This Row],[Total Revenue]]*VLOOKUP(Table1[[#This Row],[Product ID]],Table2[],5,FALSE)</f>
        <v>64.8</v>
      </c>
      <c r="J33" s="1" t="str">
        <f>TEXT(Table1[[#This Row],[Date]],"mmmm")</f>
        <v>November</v>
      </c>
      <c r="K33" s="1"/>
    </row>
    <row r="34" spans="1:11" x14ac:dyDescent="0.3">
      <c r="A34" s="1">
        <v>1032</v>
      </c>
      <c r="B34" s="3">
        <v>45614</v>
      </c>
      <c r="C34" s="1" t="s">
        <v>11</v>
      </c>
      <c r="D34" s="1" t="s">
        <v>12</v>
      </c>
      <c r="E34" s="1">
        <v>3</v>
      </c>
      <c r="F34" s="8">
        <f>_xlfn.XLOOKUP(Table1[[#This Row],[Product ID]],Table2[Product ID],Table2[Unit Price])</f>
        <v>35</v>
      </c>
      <c r="G34" s="1">
        <f>Table1[[#This Row],[Units Sold]]*Table1[[#This Row],[Unit Price]]</f>
        <v>105</v>
      </c>
      <c r="H34" s="1" t="str" cm="1">
        <f t="array" ref="H34">_xlfn.IFS(Table1[[#This Row],[Total Revenue]]&gt;1000,"High",Table1[[#This Row],[Total Revenue]]&gt;=500,"Medium",Table1[[#This Row],[Total Revenue]]&lt;500,"Low")</f>
        <v>Low</v>
      </c>
      <c r="I34" s="1">
        <f>Table1[[#This Row],[Total Revenue]]*VLOOKUP(Table1[[#This Row],[Product ID]],Table2[],5,FALSE)</f>
        <v>10.5</v>
      </c>
      <c r="J34" s="1" t="str">
        <f>TEXT(Table1[[#This Row],[Date]],"mmmm")</f>
        <v>November</v>
      </c>
      <c r="K34" s="1"/>
    </row>
    <row r="35" spans="1:11" x14ac:dyDescent="0.3">
      <c r="A35" s="1">
        <v>1033</v>
      </c>
      <c r="B35" s="3">
        <v>45616</v>
      </c>
      <c r="C35" s="1" t="s">
        <v>5</v>
      </c>
      <c r="D35" s="1" t="s">
        <v>13</v>
      </c>
      <c r="E35" s="1">
        <v>4</v>
      </c>
      <c r="F35" s="8">
        <f>_xlfn.XLOOKUP(Table1[[#This Row],[Product ID]],Table2[Product ID],Table2[Unit Price])</f>
        <v>25</v>
      </c>
      <c r="G35" s="1">
        <f>Table1[[#This Row],[Units Sold]]*Table1[[#This Row],[Unit Price]]</f>
        <v>100</v>
      </c>
      <c r="H35" s="1" t="str" cm="1">
        <f t="array" ref="H35">_xlfn.IFS(Table1[[#This Row],[Total Revenue]]&gt;1000,"High",Table1[[#This Row],[Total Revenue]]&gt;=500,"Medium",Table1[[#This Row],[Total Revenue]]&lt;500,"Low")</f>
        <v>Low</v>
      </c>
      <c r="I35" s="1">
        <f>Table1[[#This Row],[Total Revenue]]*VLOOKUP(Table1[[#This Row],[Product ID]],Table2[],5,FALSE)</f>
        <v>8</v>
      </c>
      <c r="J35" s="1" t="str">
        <f>TEXT(Table1[[#This Row],[Date]],"mmmm")</f>
        <v>November</v>
      </c>
      <c r="K35" s="1"/>
    </row>
    <row r="36" spans="1:11" x14ac:dyDescent="0.3">
      <c r="A36" s="1">
        <v>1034</v>
      </c>
      <c r="B36" s="3">
        <v>45618</v>
      </c>
      <c r="C36" s="1" t="s">
        <v>7</v>
      </c>
      <c r="D36" s="1" t="s">
        <v>10</v>
      </c>
      <c r="E36" s="1">
        <v>5</v>
      </c>
      <c r="F36" s="8">
        <f>_xlfn.XLOOKUP(Table1[[#This Row],[Product ID]],Table2[Product ID],Table2[Unit Price])</f>
        <v>150</v>
      </c>
      <c r="G36" s="1">
        <f>Table1[[#This Row],[Units Sold]]*Table1[[#This Row],[Unit Price]]</f>
        <v>750</v>
      </c>
      <c r="H36" s="1" t="str" cm="1">
        <f t="array" ref="H36">_xlfn.IFS(Table1[[#This Row],[Total Revenue]]&gt;1000,"High",Table1[[#This Row],[Total Revenue]]&gt;=500,"Medium",Table1[[#This Row],[Total Revenue]]&lt;500,"Low")</f>
        <v>Medium</v>
      </c>
      <c r="I36" s="1">
        <f>Table1[[#This Row],[Total Revenue]]*VLOOKUP(Table1[[#This Row],[Product ID]],Table2[],5,FALSE)</f>
        <v>112.5</v>
      </c>
      <c r="J36" s="1" t="str">
        <f>TEXT(Table1[[#This Row],[Date]],"mmmm")</f>
        <v>November</v>
      </c>
      <c r="K36" s="1"/>
    </row>
    <row r="37" spans="1:11" x14ac:dyDescent="0.3">
      <c r="A37" s="1">
        <v>1035</v>
      </c>
      <c r="B37" s="3">
        <v>45619</v>
      </c>
      <c r="C37" s="1" t="s">
        <v>9</v>
      </c>
      <c r="D37" s="1" t="s">
        <v>14</v>
      </c>
      <c r="E37" s="1">
        <v>1</v>
      </c>
      <c r="F37" s="8">
        <f>_xlfn.XLOOKUP(Table1[[#This Row],[Product ID]],Table2[Product ID],Table2[Unit Price])</f>
        <v>55</v>
      </c>
      <c r="G37" s="1">
        <f>Table1[[#This Row],[Units Sold]]*Table1[[#This Row],[Unit Price]]</f>
        <v>55</v>
      </c>
      <c r="H37" s="1" t="str" cm="1">
        <f t="array" ref="H37">_xlfn.IFS(Table1[[#This Row],[Total Revenue]]&gt;1000,"High",Table1[[#This Row],[Total Revenue]]&gt;=500,"Medium",Table1[[#This Row],[Total Revenue]]&lt;500,"Low")</f>
        <v>Low</v>
      </c>
      <c r="I37" s="1">
        <f>Table1[[#This Row],[Total Revenue]]*VLOOKUP(Table1[[#This Row],[Product ID]],Table2[],5,FALSE)</f>
        <v>5.5</v>
      </c>
      <c r="J37" s="1" t="str">
        <f>TEXT(Table1[[#This Row],[Date]],"mmmm")</f>
        <v>November</v>
      </c>
      <c r="K37" s="1"/>
    </row>
    <row r="38" spans="1:11" x14ac:dyDescent="0.3">
      <c r="A38" s="1">
        <v>1036</v>
      </c>
      <c r="B38" s="3">
        <v>45620</v>
      </c>
      <c r="C38" s="1" t="s">
        <v>11</v>
      </c>
      <c r="D38" s="1" t="s">
        <v>6</v>
      </c>
      <c r="E38" s="1">
        <v>6</v>
      </c>
      <c r="F38" s="8">
        <f>_xlfn.XLOOKUP(Table1[[#This Row],[Product ID]],Table2[Product ID],Table2[Unit Price])</f>
        <v>120</v>
      </c>
      <c r="G38" s="1">
        <f>Table1[[#This Row],[Units Sold]]*Table1[[#This Row],[Unit Price]]</f>
        <v>720</v>
      </c>
      <c r="H38" s="1" t="str" cm="1">
        <f t="array" ref="H38">_xlfn.IFS(Table1[[#This Row],[Total Revenue]]&gt;1000,"High",Table1[[#This Row],[Total Revenue]]&gt;=500,"Medium",Table1[[#This Row],[Total Revenue]]&lt;500,"Low")</f>
        <v>Medium</v>
      </c>
      <c r="I38" s="1">
        <f>Table1[[#This Row],[Total Revenue]]*VLOOKUP(Table1[[#This Row],[Product ID]],Table2[],5,FALSE)</f>
        <v>108</v>
      </c>
      <c r="J38" s="1" t="str">
        <f>TEXT(Table1[[#This Row],[Date]],"mmmm")</f>
        <v>November</v>
      </c>
      <c r="K38" s="1"/>
    </row>
    <row r="39" spans="1:11" x14ac:dyDescent="0.3">
      <c r="A39" s="1">
        <v>1037</v>
      </c>
      <c r="B39" s="3">
        <v>45627</v>
      </c>
      <c r="C39" s="1" t="s">
        <v>5</v>
      </c>
      <c r="D39" s="1" t="s">
        <v>16</v>
      </c>
      <c r="E39" s="1">
        <v>2</v>
      </c>
      <c r="F39" s="8">
        <f>_xlfn.XLOOKUP(Table1[[#This Row],[Product ID]],Table2[Product ID],Table2[Unit Price])</f>
        <v>20</v>
      </c>
      <c r="G39" s="1">
        <f>Table1[[#This Row],[Units Sold]]*Table1[[#This Row],[Unit Price]]</f>
        <v>40</v>
      </c>
      <c r="H39" s="1" t="str" cm="1">
        <f t="array" ref="H39">_xlfn.IFS(Table1[[#This Row],[Total Revenue]]&gt;1000,"High",Table1[[#This Row],[Total Revenue]]&gt;=500,"Medium",Table1[[#This Row],[Total Revenue]]&lt;500,"Low")</f>
        <v>Low</v>
      </c>
      <c r="I39" s="1">
        <f>Table1[[#This Row],[Total Revenue]]*VLOOKUP(Table1[[#This Row],[Product ID]],Table2[],5,FALSE)</f>
        <v>3.2</v>
      </c>
      <c r="J39" s="1" t="str">
        <f>TEXT(Table1[[#This Row],[Date]],"mmmm")</f>
        <v>December</v>
      </c>
      <c r="K39" s="1"/>
    </row>
    <row r="40" spans="1:11" x14ac:dyDescent="0.3">
      <c r="A40" s="1">
        <v>1038</v>
      </c>
      <c r="B40" s="3">
        <v>45628</v>
      </c>
      <c r="C40" s="1" t="s">
        <v>7</v>
      </c>
      <c r="D40" s="1" t="s">
        <v>15</v>
      </c>
      <c r="E40" s="1">
        <v>5</v>
      </c>
      <c r="F40" s="8">
        <f>_xlfn.XLOOKUP(Table1[[#This Row],[Product ID]],Table2[Product ID],Table2[Unit Price])</f>
        <v>180</v>
      </c>
      <c r="G40" s="1">
        <f>Table1[[#This Row],[Units Sold]]*Table1[[#This Row],[Unit Price]]</f>
        <v>900</v>
      </c>
      <c r="H40" s="1" t="str" cm="1">
        <f t="array" ref="H40">_xlfn.IFS(Table1[[#This Row],[Total Revenue]]&gt;1000,"High",Table1[[#This Row],[Total Revenue]]&gt;=500,"Medium",Table1[[#This Row],[Total Revenue]]&lt;500,"Low")</f>
        <v>Medium</v>
      </c>
      <c r="I40" s="1">
        <f>Table1[[#This Row],[Total Revenue]]*VLOOKUP(Table1[[#This Row],[Product ID]],Table2[],5,FALSE)</f>
        <v>162</v>
      </c>
      <c r="J40" s="1" t="str">
        <f>TEXT(Table1[[#This Row],[Date]],"mmmm")</f>
        <v>December</v>
      </c>
      <c r="K40" s="1"/>
    </row>
    <row r="41" spans="1:11" x14ac:dyDescent="0.3">
      <c r="A41" s="1">
        <v>1039</v>
      </c>
      <c r="B41" s="3">
        <v>45629</v>
      </c>
      <c r="C41" s="1" t="s">
        <v>9</v>
      </c>
      <c r="D41" s="1" t="s">
        <v>17</v>
      </c>
      <c r="E41" s="1">
        <v>3</v>
      </c>
      <c r="F41" s="8">
        <f>_xlfn.XLOOKUP(Table1[[#This Row],[Product ID]],Table2[Product ID],Table2[Unit Price])</f>
        <v>85</v>
      </c>
      <c r="G41" s="1">
        <f>Table1[[#This Row],[Units Sold]]*Table1[[#This Row],[Unit Price]]</f>
        <v>255</v>
      </c>
      <c r="H41" s="1" t="str" cm="1">
        <f t="array" ref="H41">_xlfn.IFS(Table1[[#This Row],[Total Revenue]]&gt;1000,"High",Table1[[#This Row],[Total Revenue]]&gt;=500,"Medium",Table1[[#This Row],[Total Revenue]]&lt;500,"Low")</f>
        <v>Low</v>
      </c>
      <c r="I41" s="1">
        <f>Table1[[#This Row],[Total Revenue]]*VLOOKUP(Table1[[#This Row],[Product ID]],Table2[],5,FALSE)</f>
        <v>30.599999999999998</v>
      </c>
      <c r="J41" s="1" t="str">
        <f>TEXT(Table1[[#This Row],[Date]],"mmmm")</f>
        <v>December</v>
      </c>
      <c r="K41" s="1"/>
    </row>
    <row r="42" spans="1:11" x14ac:dyDescent="0.3">
      <c r="A42" s="1">
        <v>1040</v>
      </c>
      <c r="B42" s="3">
        <v>45630</v>
      </c>
      <c r="C42" s="1" t="s">
        <v>11</v>
      </c>
      <c r="D42" s="1" t="s">
        <v>8</v>
      </c>
      <c r="E42" s="1">
        <v>4</v>
      </c>
      <c r="F42" s="8">
        <f>_xlfn.XLOOKUP(Table1[[#This Row],[Product ID]],Table2[Product ID],Table2[Unit Price])</f>
        <v>50</v>
      </c>
      <c r="G42" s="1">
        <f>Table1[[#This Row],[Units Sold]]*Table1[[#This Row],[Unit Price]]</f>
        <v>200</v>
      </c>
      <c r="H42" s="1" t="str" cm="1">
        <f t="array" ref="H42">_xlfn.IFS(Table1[[#This Row],[Total Revenue]]&gt;1000,"High",Table1[[#This Row],[Total Revenue]]&gt;=500,"Medium",Table1[[#This Row],[Total Revenue]]&lt;500,"Low")</f>
        <v>Low</v>
      </c>
      <c r="I42" s="1">
        <f>Table1[[#This Row],[Total Revenue]]*VLOOKUP(Table1[[#This Row],[Product ID]],Table2[],5,FALSE)</f>
        <v>20</v>
      </c>
      <c r="J42" s="1" t="str">
        <f>TEXT(Table1[[#This Row],[Date]],"mmmm")</f>
        <v>December</v>
      </c>
      <c r="K42" s="1"/>
    </row>
    <row r="43" spans="1:11" x14ac:dyDescent="0.3">
      <c r="A43" s="1">
        <v>1041</v>
      </c>
      <c r="B43" s="3">
        <v>45632</v>
      </c>
      <c r="C43" s="1" t="s">
        <v>5</v>
      </c>
      <c r="D43" s="1" t="s">
        <v>12</v>
      </c>
      <c r="E43" s="1">
        <v>5</v>
      </c>
      <c r="F43" s="8">
        <f>_xlfn.XLOOKUP(Table1[[#This Row],[Product ID]],Table2[Product ID],Table2[Unit Price])</f>
        <v>35</v>
      </c>
      <c r="G43" s="1">
        <f>Table1[[#This Row],[Units Sold]]*Table1[[#This Row],[Unit Price]]</f>
        <v>175</v>
      </c>
      <c r="H43" s="1" t="str" cm="1">
        <f t="array" ref="H43">_xlfn.IFS(Table1[[#This Row],[Total Revenue]]&gt;1000,"High",Table1[[#This Row],[Total Revenue]]&gt;=500,"Medium",Table1[[#This Row],[Total Revenue]]&lt;500,"Low")</f>
        <v>Low</v>
      </c>
      <c r="I43" s="1">
        <f>Table1[[#This Row],[Total Revenue]]*VLOOKUP(Table1[[#This Row],[Product ID]],Table2[],5,FALSE)</f>
        <v>17.5</v>
      </c>
      <c r="J43" s="1" t="str">
        <f>TEXT(Table1[[#This Row],[Date]],"mmmm")</f>
        <v>December</v>
      </c>
      <c r="K43" s="1"/>
    </row>
    <row r="44" spans="1:11" x14ac:dyDescent="0.3">
      <c r="A44" s="1">
        <v>1042</v>
      </c>
      <c r="B44" s="3">
        <v>45633</v>
      </c>
      <c r="C44" s="1" t="s">
        <v>7</v>
      </c>
      <c r="D44" s="1" t="s">
        <v>10</v>
      </c>
      <c r="E44" s="1">
        <v>2</v>
      </c>
      <c r="F44" s="8">
        <f>_xlfn.XLOOKUP(Table1[[#This Row],[Product ID]],Table2[Product ID],Table2[Unit Price])</f>
        <v>150</v>
      </c>
      <c r="G44" s="1">
        <f>Table1[[#This Row],[Units Sold]]*Table1[[#This Row],[Unit Price]]</f>
        <v>300</v>
      </c>
      <c r="H44" s="1" t="str" cm="1">
        <f t="array" ref="H44">_xlfn.IFS(Table1[[#This Row],[Total Revenue]]&gt;1000,"High",Table1[[#This Row],[Total Revenue]]&gt;=500,"Medium",Table1[[#This Row],[Total Revenue]]&lt;500,"Low")</f>
        <v>Low</v>
      </c>
      <c r="I44" s="1">
        <f>Table1[[#This Row],[Total Revenue]]*VLOOKUP(Table1[[#This Row],[Product ID]],Table2[],5,FALSE)</f>
        <v>45</v>
      </c>
      <c r="J44" s="1" t="str">
        <f>TEXT(Table1[[#This Row],[Date]],"mmmm")</f>
        <v>December</v>
      </c>
      <c r="K44" s="1"/>
    </row>
    <row r="45" spans="1:11" x14ac:dyDescent="0.3">
      <c r="A45" s="1">
        <v>1043</v>
      </c>
      <c r="B45" s="3">
        <v>45634</v>
      </c>
      <c r="C45" s="1" t="s">
        <v>9</v>
      </c>
      <c r="D45" s="1" t="s">
        <v>13</v>
      </c>
      <c r="E45" s="1">
        <v>6</v>
      </c>
      <c r="F45" s="8">
        <f>_xlfn.XLOOKUP(Table1[[#This Row],[Product ID]],Table2[Product ID],Table2[Unit Price])</f>
        <v>25</v>
      </c>
      <c r="G45" s="1">
        <f>Table1[[#This Row],[Units Sold]]*Table1[[#This Row],[Unit Price]]</f>
        <v>150</v>
      </c>
      <c r="H45" s="1" t="str" cm="1">
        <f t="array" ref="H45">_xlfn.IFS(Table1[[#This Row],[Total Revenue]]&gt;1000,"High",Table1[[#This Row],[Total Revenue]]&gt;=500,"Medium",Table1[[#This Row],[Total Revenue]]&lt;500,"Low")</f>
        <v>Low</v>
      </c>
      <c r="I45" s="1">
        <f>Table1[[#This Row],[Total Revenue]]*VLOOKUP(Table1[[#This Row],[Product ID]],Table2[],5,FALSE)</f>
        <v>12</v>
      </c>
      <c r="J45" s="1" t="str">
        <f>TEXT(Table1[[#This Row],[Date]],"mmmm")</f>
        <v>December</v>
      </c>
      <c r="K45" s="1"/>
    </row>
    <row r="46" spans="1:11" x14ac:dyDescent="0.3">
      <c r="A46" s="1">
        <v>1044</v>
      </c>
      <c r="B46" s="3">
        <v>45635</v>
      </c>
      <c r="C46" s="1" t="s">
        <v>11</v>
      </c>
      <c r="D46" s="1" t="s">
        <v>14</v>
      </c>
      <c r="E46" s="1">
        <v>1</v>
      </c>
      <c r="F46" s="8">
        <f>_xlfn.XLOOKUP(Table1[[#This Row],[Product ID]],Table2[Product ID],Table2[Unit Price])</f>
        <v>55</v>
      </c>
      <c r="G46" s="1">
        <f>Table1[[#This Row],[Units Sold]]*Table1[[#This Row],[Unit Price]]</f>
        <v>55</v>
      </c>
      <c r="H46" s="1" t="str" cm="1">
        <f t="array" ref="H46">_xlfn.IFS(Table1[[#This Row],[Total Revenue]]&gt;1000,"High",Table1[[#This Row],[Total Revenue]]&gt;=500,"Medium",Table1[[#This Row],[Total Revenue]]&lt;500,"Low")</f>
        <v>Low</v>
      </c>
      <c r="I46" s="1">
        <f>Table1[[#This Row],[Total Revenue]]*VLOOKUP(Table1[[#This Row],[Product ID]],Table2[],5,FALSE)</f>
        <v>5.5</v>
      </c>
      <c r="J46" s="1" t="str">
        <f>TEXT(Table1[[#This Row],[Date]],"mmmm")</f>
        <v>December</v>
      </c>
      <c r="K46" s="1"/>
    </row>
    <row r="47" spans="1:11" x14ac:dyDescent="0.3">
      <c r="A47" s="1">
        <v>1045</v>
      </c>
      <c r="B47" s="3">
        <v>45636</v>
      </c>
      <c r="C47" s="1" t="s">
        <v>5</v>
      </c>
      <c r="D47" s="1" t="s">
        <v>6</v>
      </c>
      <c r="E47" s="1">
        <v>4</v>
      </c>
      <c r="F47" s="8">
        <f>_xlfn.XLOOKUP(Table1[[#This Row],[Product ID]],Table2[Product ID],Table2[Unit Price])</f>
        <v>120</v>
      </c>
      <c r="G47" s="1">
        <f>Table1[[#This Row],[Units Sold]]*Table1[[#This Row],[Unit Price]]</f>
        <v>480</v>
      </c>
      <c r="H47" s="1" t="str" cm="1">
        <f t="array" ref="H47">_xlfn.IFS(Table1[[#This Row],[Total Revenue]]&gt;1000,"High",Table1[[#This Row],[Total Revenue]]&gt;=500,"Medium",Table1[[#This Row],[Total Revenue]]&lt;500,"Low")</f>
        <v>Low</v>
      </c>
      <c r="I47" s="1">
        <f>Table1[[#This Row],[Total Revenue]]*VLOOKUP(Table1[[#This Row],[Product ID]],Table2[],5,FALSE)</f>
        <v>72</v>
      </c>
      <c r="J47" s="1" t="str">
        <f>TEXT(Table1[[#This Row],[Date]],"mmmm")</f>
        <v>December</v>
      </c>
      <c r="K47" s="1"/>
    </row>
    <row r="48" spans="1:11" x14ac:dyDescent="0.3">
      <c r="A48" s="1">
        <v>1046</v>
      </c>
      <c r="B48" s="3">
        <v>45637</v>
      </c>
      <c r="C48" s="1" t="s">
        <v>7</v>
      </c>
      <c r="D48" s="1" t="s">
        <v>16</v>
      </c>
      <c r="E48" s="1">
        <v>5</v>
      </c>
      <c r="F48" s="8">
        <f>_xlfn.XLOOKUP(Table1[[#This Row],[Product ID]],Table2[Product ID],Table2[Unit Price])</f>
        <v>20</v>
      </c>
      <c r="G48" s="1">
        <f>Table1[[#This Row],[Units Sold]]*Table1[[#This Row],[Unit Price]]</f>
        <v>100</v>
      </c>
      <c r="H48" s="1" t="str" cm="1">
        <f t="array" ref="H48">_xlfn.IFS(Table1[[#This Row],[Total Revenue]]&gt;1000,"High",Table1[[#This Row],[Total Revenue]]&gt;=500,"Medium",Table1[[#This Row],[Total Revenue]]&lt;500,"Low")</f>
        <v>Low</v>
      </c>
      <c r="I48" s="1">
        <f>Table1[[#This Row],[Total Revenue]]*VLOOKUP(Table1[[#This Row],[Product ID]],Table2[],5,FALSE)</f>
        <v>8</v>
      </c>
      <c r="J48" s="1" t="str">
        <f>TEXT(Table1[[#This Row],[Date]],"mmmm")</f>
        <v>December</v>
      </c>
      <c r="K48" s="1"/>
    </row>
    <row r="49" spans="1:11" x14ac:dyDescent="0.3">
      <c r="A49" s="1">
        <v>1047</v>
      </c>
      <c r="B49" s="3">
        <v>45638</v>
      </c>
      <c r="C49" s="1" t="s">
        <v>9</v>
      </c>
      <c r="D49" s="1" t="s">
        <v>15</v>
      </c>
      <c r="E49" s="1">
        <v>2</v>
      </c>
      <c r="F49" s="8">
        <f>_xlfn.XLOOKUP(Table1[[#This Row],[Product ID]],Table2[Product ID],Table2[Unit Price])</f>
        <v>180</v>
      </c>
      <c r="G49" s="1">
        <f>Table1[[#This Row],[Units Sold]]*Table1[[#This Row],[Unit Price]]</f>
        <v>360</v>
      </c>
      <c r="H49" s="1" t="str" cm="1">
        <f t="array" ref="H49">_xlfn.IFS(Table1[[#This Row],[Total Revenue]]&gt;1000,"High",Table1[[#This Row],[Total Revenue]]&gt;=500,"Medium",Table1[[#This Row],[Total Revenue]]&lt;500,"Low")</f>
        <v>Low</v>
      </c>
      <c r="I49" s="1">
        <f>Table1[[#This Row],[Total Revenue]]*VLOOKUP(Table1[[#This Row],[Product ID]],Table2[],5,FALSE)</f>
        <v>64.8</v>
      </c>
      <c r="J49" s="1" t="str">
        <f>TEXT(Table1[[#This Row],[Date]],"mmmm")</f>
        <v>December</v>
      </c>
      <c r="K49" s="1"/>
    </row>
    <row r="50" spans="1:11" x14ac:dyDescent="0.3">
      <c r="A50" s="1">
        <v>1048</v>
      </c>
      <c r="B50" s="3">
        <v>45639</v>
      </c>
      <c r="C50" s="1" t="s">
        <v>11</v>
      </c>
      <c r="D50" s="1" t="s">
        <v>17</v>
      </c>
      <c r="E50" s="1">
        <v>3</v>
      </c>
      <c r="F50" s="8">
        <f>_xlfn.XLOOKUP(Table1[[#This Row],[Product ID]],Table2[Product ID],Table2[Unit Price])</f>
        <v>85</v>
      </c>
      <c r="G50" s="1">
        <f>Table1[[#This Row],[Units Sold]]*Table1[[#This Row],[Unit Price]]</f>
        <v>255</v>
      </c>
      <c r="H50" s="1" t="str" cm="1">
        <f t="array" ref="H50">_xlfn.IFS(Table1[[#This Row],[Total Revenue]]&gt;1000,"High",Table1[[#This Row],[Total Revenue]]&gt;=500,"Medium",Table1[[#This Row],[Total Revenue]]&lt;500,"Low")</f>
        <v>Low</v>
      </c>
      <c r="I50" s="1">
        <f>Table1[[#This Row],[Total Revenue]]*VLOOKUP(Table1[[#This Row],[Product ID]],Table2[],5,FALSE)</f>
        <v>30.599999999999998</v>
      </c>
      <c r="J50" s="1" t="str">
        <f>TEXT(Table1[[#This Row],[Date]],"mmmm")</f>
        <v>December</v>
      </c>
      <c r="K50" s="1"/>
    </row>
    <row r="51" spans="1:11" x14ac:dyDescent="0.3">
      <c r="A51" s="1">
        <v>1049</v>
      </c>
      <c r="B51" s="3">
        <v>45640</v>
      </c>
      <c r="C51" s="1" t="s">
        <v>5</v>
      </c>
      <c r="D51" s="1" t="s">
        <v>8</v>
      </c>
      <c r="E51" s="1">
        <v>6</v>
      </c>
      <c r="F51" s="8">
        <f>_xlfn.XLOOKUP(Table1[[#This Row],[Product ID]],Table2[Product ID],Table2[Unit Price])</f>
        <v>50</v>
      </c>
      <c r="G51" s="1">
        <f>Table1[[#This Row],[Units Sold]]*Table1[[#This Row],[Unit Price]]</f>
        <v>300</v>
      </c>
      <c r="H51" s="1" t="str" cm="1">
        <f t="array" ref="H51">_xlfn.IFS(Table1[[#This Row],[Total Revenue]]&gt;1000,"High",Table1[[#This Row],[Total Revenue]]&gt;=500,"Medium",Table1[[#This Row],[Total Revenue]]&lt;500,"Low")</f>
        <v>Low</v>
      </c>
      <c r="I51" s="1">
        <f>Table1[[#This Row],[Total Revenue]]*VLOOKUP(Table1[[#This Row],[Product ID]],Table2[],5,FALSE)</f>
        <v>30</v>
      </c>
      <c r="J51" s="1" t="str">
        <f>TEXT(Table1[[#This Row],[Date]],"mmmm")</f>
        <v>December</v>
      </c>
      <c r="K51" s="1"/>
    </row>
    <row r="52" spans="1:11" x14ac:dyDescent="0.3">
      <c r="A52" s="1">
        <v>1050</v>
      </c>
      <c r="B52" s="3">
        <v>45641</v>
      </c>
      <c r="C52" s="1" t="s">
        <v>7</v>
      </c>
      <c r="D52" s="1" t="s">
        <v>10</v>
      </c>
      <c r="E52" s="1">
        <v>4</v>
      </c>
      <c r="F52" s="8">
        <f>_xlfn.XLOOKUP(Table1[[#This Row],[Product ID]],Table2[Product ID],Table2[Unit Price])</f>
        <v>150</v>
      </c>
      <c r="G52" s="1">
        <f>Table1[[#This Row],[Units Sold]]*Table1[[#This Row],[Unit Price]]</f>
        <v>600</v>
      </c>
      <c r="H52" s="1" t="str" cm="1">
        <f t="array" ref="H52">_xlfn.IFS(Table1[[#This Row],[Total Revenue]]&gt;1000,"High",Table1[[#This Row],[Total Revenue]]&gt;=500,"Medium",Table1[[#This Row],[Total Revenue]]&lt;500,"Low")</f>
        <v>Medium</v>
      </c>
      <c r="I52" s="1">
        <f>Table1[[#This Row],[Total Revenue]]*VLOOKUP(Table1[[#This Row],[Product ID]],Table2[],5,FALSE)</f>
        <v>90</v>
      </c>
      <c r="J52" s="1" t="str">
        <f>TEXT(Table1[[#This Row],[Date]],"mmmm")</f>
        <v>December</v>
      </c>
      <c r="K52" s="1"/>
    </row>
    <row r="53" spans="1:11" x14ac:dyDescent="0.3">
      <c r="A53" s="1">
        <v>1067</v>
      </c>
      <c r="B53" s="3">
        <v>45629</v>
      </c>
      <c r="C53" s="1" t="s">
        <v>9</v>
      </c>
      <c r="D53" s="1" t="s">
        <v>15</v>
      </c>
      <c r="E53" s="1">
        <v>15</v>
      </c>
      <c r="F53" s="8">
        <f>_xlfn.XLOOKUP(Table1[[#This Row],[Product ID]],Table2[Product ID],Table2[Unit Price])</f>
        <v>180</v>
      </c>
      <c r="G53" s="1">
        <f>Table1[[#This Row],[Units Sold]]*Table1[[#This Row],[Unit Price]]</f>
        <v>2700</v>
      </c>
      <c r="H53" s="1" t="str" cm="1">
        <f t="array" ref="H53">_xlfn.IFS(Table1[[#This Row],[Total Revenue]]&gt;1000,"High",Table1[[#This Row],[Total Revenue]]&gt;=500,"Medium",Table1[[#This Row],[Total Revenue]]&lt;500,"Low")</f>
        <v>High</v>
      </c>
      <c r="I53" s="1">
        <f>Table1[[#This Row],[Total Revenue]]*VLOOKUP(Table1[[#This Row],[Product ID]],Table2[],5,FALSE)</f>
        <v>486</v>
      </c>
      <c r="J53" s="1" t="str">
        <f>TEXT(Table1[[#This Row],[Date]],"mmmm")</f>
        <v>December</v>
      </c>
      <c r="K53" s="1"/>
    </row>
    <row r="54" spans="1:11" x14ac:dyDescent="0.3">
      <c r="A54" s="1">
        <v>1068</v>
      </c>
      <c r="B54" s="3">
        <v>45630</v>
      </c>
      <c r="C54" s="1" t="s">
        <v>11</v>
      </c>
      <c r="D54" s="1" t="s">
        <v>14</v>
      </c>
      <c r="E54" s="1">
        <v>5</v>
      </c>
      <c r="F54" s="8">
        <f>_xlfn.XLOOKUP(Table1[[#This Row],[Product ID]],Table2[Product ID],Table2[Unit Price])</f>
        <v>55</v>
      </c>
      <c r="G54" s="1">
        <f>Table1[[#This Row],[Units Sold]]*Table1[[#This Row],[Unit Price]]</f>
        <v>275</v>
      </c>
      <c r="H54" s="1" t="str" cm="1">
        <f t="array" ref="H54">_xlfn.IFS(Table1[[#This Row],[Total Revenue]]&gt;1000,"High",Table1[[#This Row],[Total Revenue]]&gt;=500,"Medium",Table1[[#This Row],[Total Revenue]]&lt;500,"Low")</f>
        <v>Low</v>
      </c>
      <c r="I54" s="1">
        <f>Table1[[#This Row],[Total Revenue]]*VLOOKUP(Table1[[#This Row],[Product ID]],Table2[],5,FALSE)</f>
        <v>27.5</v>
      </c>
      <c r="J54" s="1" t="str">
        <f>TEXT(Table1[[#This Row],[Date]],"mmmm")</f>
        <v>December</v>
      </c>
      <c r="K54" s="1"/>
    </row>
    <row r="55" spans="1:11" x14ac:dyDescent="0.3">
      <c r="A55" s="1">
        <v>1069</v>
      </c>
      <c r="B55" s="3">
        <v>45631</v>
      </c>
      <c r="C55" s="1" t="s">
        <v>5</v>
      </c>
      <c r="D55" s="1" t="s">
        <v>13</v>
      </c>
      <c r="E55" s="1">
        <v>9</v>
      </c>
      <c r="F55" s="8">
        <f>_xlfn.XLOOKUP(Table1[[#This Row],[Product ID]],Table2[Product ID],Table2[Unit Price])</f>
        <v>25</v>
      </c>
      <c r="G55" s="1">
        <f>Table1[[#This Row],[Units Sold]]*Table1[[#This Row],[Unit Price]]</f>
        <v>225</v>
      </c>
      <c r="H55" s="1" t="str" cm="1">
        <f t="array" ref="H55">_xlfn.IFS(Table1[[#This Row],[Total Revenue]]&gt;1000,"High",Table1[[#This Row],[Total Revenue]]&gt;=500,"Medium",Table1[[#This Row],[Total Revenue]]&lt;500,"Low")</f>
        <v>Low</v>
      </c>
      <c r="I55" s="1">
        <f>Table1[[#This Row],[Total Revenue]]*VLOOKUP(Table1[[#This Row],[Product ID]],Table2[],5,FALSE)</f>
        <v>18</v>
      </c>
      <c r="J55" s="1" t="str">
        <f>TEXT(Table1[[#This Row],[Date]],"mmmm")</f>
        <v>December</v>
      </c>
      <c r="K55" s="1"/>
    </row>
    <row r="56" spans="1:11" x14ac:dyDescent="0.3">
      <c r="A56" s="1">
        <v>1070</v>
      </c>
      <c r="B56" s="3">
        <v>45632</v>
      </c>
      <c r="C56" s="1" t="s">
        <v>7</v>
      </c>
      <c r="D56" s="1" t="s">
        <v>10</v>
      </c>
      <c r="E56" s="1">
        <v>12</v>
      </c>
      <c r="F56" s="8">
        <f>_xlfn.XLOOKUP(Table1[[#This Row],[Product ID]],Table2[Product ID],Table2[Unit Price])</f>
        <v>150</v>
      </c>
      <c r="G56" s="1">
        <f>Table1[[#This Row],[Units Sold]]*Table1[[#This Row],[Unit Price]]</f>
        <v>1800</v>
      </c>
      <c r="H56" s="1" t="str" cm="1">
        <f t="array" ref="H56">_xlfn.IFS(Table1[[#This Row],[Total Revenue]]&gt;1000,"High",Table1[[#This Row],[Total Revenue]]&gt;=500,"Medium",Table1[[#This Row],[Total Revenue]]&lt;500,"Low")</f>
        <v>High</v>
      </c>
      <c r="I56" s="1">
        <f>Table1[[#This Row],[Total Revenue]]*VLOOKUP(Table1[[#This Row],[Product ID]],Table2[],5,FALSE)</f>
        <v>270</v>
      </c>
      <c r="J56" s="1" t="str">
        <f>TEXT(Table1[[#This Row],[Date]],"mmmm")</f>
        <v>December</v>
      </c>
      <c r="K56" s="1"/>
    </row>
    <row r="57" spans="1:11" x14ac:dyDescent="0.3">
      <c r="A57" s="1">
        <v>1071</v>
      </c>
      <c r="B57" s="3">
        <v>45633</v>
      </c>
      <c r="C57" s="1" t="s">
        <v>9</v>
      </c>
      <c r="D57" s="1" t="s">
        <v>17</v>
      </c>
      <c r="E57" s="1">
        <v>6</v>
      </c>
      <c r="F57" s="8">
        <f>_xlfn.XLOOKUP(Table1[[#This Row],[Product ID]],Table2[Product ID],Table2[Unit Price])</f>
        <v>85</v>
      </c>
      <c r="G57" s="1">
        <f>Table1[[#This Row],[Units Sold]]*Table1[[#This Row],[Unit Price]]</f>
        <v>510</v>
      </c>
      <c r="H57" s="1" t="str" cm="1">
        <f t="array" ref="H57">_xlfn.IFS(Table1[[#This Row],[Total Revenue]]&gt;1000,"High",Table1[[#This Row],[Total Revenue]]&gt;=500,"Medium",Table1[[#This Row],[Total Revenue]]&lt;500,"Low")</f>
        <v>Medium</v>
      </c>
      <c r="I57" s="1">
        <f>Table1[[#This Row],[Total Revenue]]*VLOOKUP(Table1[[#This Row],[Product ID]],Table2[],5,FALSE)</f>
        <v>61.199999999999996</v>
      </c>
      <c r="J57" s="1" t="str">
        <f>TEXT(Table1[[#This Row],[Date]],"mmmm")</f>
        <v>December</v>
      </c>
      <c r="K57" s="1"/>
    </row>
    <row r="58" spans="1:11" x14ac:dyDescent="0.3">
      <c r="A58" s="1">
        <v>1072</v>
      </c>
      <c r="B58" s="3">
        <v>45634</v>
      </c>
      <c r="C58" s="1" t="s">
        <v>11</v>
      </c>
      <c r="D58" s="1" t="s">
        <v>16</v>
      </c>
      <c r="E58" s="1">
        <v>8</v>
      </c>
      <c r="F58" s="8">
        <f>_xlfn.XLOOKUP(Table1[[#This Row],[Product ID]],Table2[Product ID],Table2[Unit Price])</f>
        <v>20</v>
      </c>
      <c r="G58" s="1">
        <f>Table1[[#This Row],[Units Sold]]*Table1[[#This Row],[Unit Price]]</f>
        <v>160</v>
      </c>
      <c r="H58" s="1" t="str" cm="1">
        <f t="array" ref="H58">_xlfn.IFS(Table1[[#This Row],[Total Revenue]]&gt;1000,"High",Table1[[#This Row],[Total Revenue]]&gt;=500,"Medium",Table1[[#This Row],[Total Revenue]]&lt;500,"Low")</f>
        <v>Low</v>
      </c>
      <c r="I58" s="1">
        <f>Table1[[#This Row],[Total Revenue]]*VLOOKUP(Table1[[#This Row],[Product ID]],Table2[],5,FALSE)</f>
        <v>12.8</v>
      </c>
      <c r="J58" s="1" t="str">
        <f>TEXT(Table1[[#This Row],[Date]],"mmmm")</f>
        <v>December</v>
      </c>
      <c r="K58" s="1"/>
    </row>
    <row r="59" spans="1:11" x14ac:dyDescent="0.3">
      <c r="A59" s="1">
        <v>1073</v>
      </c>
      <c r="B59" s="3">
        <v>45635</v>
      </c>
      <c r="C59" s="1" t="s">
        <v>5</v>
      </c>
      <c r="D59" s="1" t="s">
        <v>12</v>
      </c>
      <c r="E59" s="1">
        <v>10</v>
      </c>
      <c r="F59" s="8">
        <f>_xlfn.XLOOKUP(Table1[[#This Row],[Product ID]],Table2[Product ID],Table2[Unit Price])</f>
        <v>35</v>
      </c>
      <c r="G59" s="1">
        <f>Table1[[#This Row],[Units Sold]]*Table1[[#This Row],[Unit Price]]</f>
        <v>350</v>
      </c>
      <c r="H59" s="1" t="str" cm="1">
        <f t="array" ref="H59">_xlfn.IFS(Table1[[#This Row],[Total Revenue]]&gt;1000,"High",Table1[[#This Row],[Total Revenue]]&gt;=500,"Medium",Table1[[#This Row],[Total Revenue]]&lt;500,"Low")</f>
        <v>Low</v>
      </c>
      <c r="I59" s="1">
        <f>Table1[[#This Row],[Total Revenue]]*VLOOKUP(Table1[[#This Row],[Product ID]],Table2[],5,FALSE)</f>
        <v>35</v>
      </c>
      <c r="J59" s="1" t="str">
        <f>TEXT(Table1[[#This Row],[Date]],"mmmm")</f>
        <v>December</v>
      </c>
      <c r="K59" s="1"/>
    </row>
    <row r="60" spans="1:11" x14ac:dyDescent="0.3">
      <c r="A60" s="1">
        <v>1074</v>
      </c>
      <c r="B60" s="3">
        <v>45636</v>
      </c>
      <c r="C60" s="1" t="s">
        <v>7</v>
      </c>
      <c r="D60" s="1" t="s">
        <v>6</v>
      </c>
      <c r="E60" s="1">
        <v>18</v>
      </c>
      <c r="F60" s="8">
        <f>_xlfn.XLOOKUP(Table1[[#This Row],[Product ID]],Table2[Product ID],Table2[Unit Price])</f>
        <v>120</v>
      </c>
      <c r="G60" s="1">
        <f>Table1[[#This Row],[Units Sold]]*Table1[[#This Row],[Unit Price]]</f>
        <v>2160</v>
      </c>
      <c r="H60" s="1" t="str" cm="1">
        <f t="array" ref="H60">_xlfn.IFS(Table1[[#This Row],[Total Revenue]]&gt;1000,"High",Table1[[#This Row],[Total Revenue]]&gt;=500,"Medium",Table1[[#This Row],[Total Revenue]]&lt;500,"Low")</f>
        <v>High</v>
      </c>
      <c r="I60" s="1">
        <f>Table1[[#This Row],[Total Revenue]]*VLOOKUP(Table1[[#This Row],[Product ID]],Table2[],5,FALSE)</f>
        <v>324</v>
      </c>
      <c r="J60" s="1" t="str">
        <f>TEXT(Table1[[#This Row],[Date]],"mmmm")</f>
        <v>December</v>
      </c>
      <c r="K60" s="1"/>
    </row>
    <row r="61" spans="1:11" x14ac:dyDescent="0.3">
      <c r="A61" s="1">
        <v>1075</v>
      </c>
      <c r="B61" s="3">
        <v>45637</v>
      </c>
      <c r="C61" s="1" t="s">
        <v>9</v>
      </c>
      <c r="D61" s="1" t="s">
        <v>8</v>
      </c>
      <c r="E61" s="1">
        <v>9</v>
      </c>
      <c r="F61" s="8">
        <f>_xlfn.XLOOKUP(Table1[[#This Row],[Product ID]],Table2[Product ID],Table2[Unit Price])</f>
        <v>50</v>
      </c>
      <c r="G61" s="1">
        <f>Table1[[#This Row],[Units Sold]]*Table1[[#This Row],[Unit Price]]</f>
        <v>450</v>
      </c>
      <c r="H61" s="1" t="str" cm="1">
        <f t="array" ref="H61">_xlfn.IFS(Table1[[#This Row],[Total Revenue]]&gt;1000,"High",Table1[[#This Row],[Total Revenue]]&gt;=500,"Medium",Table1[[#This Row],[Total Revenue]]&lt;500,"Low")</f>
        <v>Low</v>
      </c>
      <c r="I61" s="1">
        <f>Table1[[#This Row],[Total Revenue]]*VLOOKUP(Table1[[#This Row],[Product ID]],Table2[],5,FALSE)</f>
        <v>45</v>
      </c>
      <c r="J61" s="1" t="str">
        <f>TEXT(Table1[[#This Row],[Date]],"mmmm")</f>
        <v>December</v>
      </c>
      <c r="K61" s="1"/>
    </row>
    <row r="62" spans="1:11" x14ac:dyDescent="0.3">
      <c r="A62" s="1">
        <v>1076</v>
      </c>
      <c r="B62" s="3">
        <v>45638</v>
      </c>
      <c r="C62" s="1" t="s">
        <v>11</v>
      </c>
      <c r="D62" s="1" t="s">
        <v>15</v>
      </c>
      <c r="E62" s="1">
        <v>6</v>
      </c>
      <c r="F62" s="8">
        <f>_xlfn.XLOOKUP(Table1[[#This Row],[Product ID]],Table2[Product ID],Table2[Unit Price])</f>
        <v>180</v>
      </c>
      <c r="G62" s="1">
        <f>Table1[[#This Row],[Units Sold]]*Table1[[#This Row],[Unit Price]]</f>
        <v>1080</v>
      </c>
      <c r="H62" s="1" t="str" cm="1">
        <f t="array" ref="H62">_xlfn.IFS(Table1[[#This Row],[Total Revenue]]&gt;1000,"High",Table1[[#This Row],[Total Revenue]]&gt;=500,"Medium",Table1[[#This Row],[Total Revenue]]&lt;500,"Low")</f>
        <v>High</v>
      </c>
      <c r="I62" s="1">
        <f>Table1[[#This Row],[Total Revenue]]*VLOOKUP(Table1[[#This Row],[Product ID]],Table2[],5,FALSE)</f>
        <v>194.4</v>
      </c>
      <c r="J62" s="1" t="str">
        <f>TEXT(Table1[[#This Row],[Date]],"mmmm")</f>
        <v>December</v>
      </c>
      <c r="K62" s="1"/>
    </row>
    <row r="63" spans="1:11" x14ac:dyDescent="0.3">
      <c r="A63" s="1">
        <v>1077</v>
      </c>
      <c r="B63" s="3">
        <v>45639</v>
      </c>
      <c r="C63" s="1" t="s">
        <v>5</v>
      </c>
      <c r="D63" s="1" t="s">
        <v>14</v>
      </c>
      <c r="E63" s="1">
        <v>3</v>
      </c>
      <c r="F63" s="8">
        <f>_xlfn.XLOOKUP(Table1[[#This Row],[Product ID]],Table2[Product ID],Table2[Unit Price])</f>
        <v>55</v>
      </c>
      <c r="G63" s="1">
        <f>Table1[[#This Row],[Units Sold]]*Table1[[#This Row],[Unit Price]]</f>
        <v>165</v>
      </c>
      <c r="H63" s="1" t="str" cm="1">
        <f t="array" ref="H63">_xlfn.IFS(Table1[[#This Row],[Total Revenue]]&gt;1000,"High",Table1[[#This Row],[Total Revenue]]&gt;=500,"Medium",Table1[[#This Row],[Total Revenue]]&lt;500,"Low")</f>
        <v>Low</v>
      </c>
      <c r="I63" s="1">
        <f>Table1[[#This Row],[Total Revenue]]*VLOOKUP(Table1[[#This Row],[Product ID]],Table2[],5,FALSE)</f>
        <v>16.5</v>
      </c>
      <c r="J63" s="1" t="str">
        <f>TEXT(Table1[[#This Row],[Date]],"mmmm")</f>
        <v>December</v>
      </c>
      <c r="K63" s="1"/>
    </row>
    <row r="64" spans="1:11" x14ac:dyDescent="0.3">
      <c r="A64" s="1">
        <v>1078</v>
      </c>
      <c r="B64" s="3">
        <v>45640</v>
      </c>
      <c r="C64" s="1" t="s">
        <v>7</v>
      </c>
      <c r="D64" s="1" t="s">
        <v>13</v>
      </c>
      <c r="E64" s="1">
        <v>4</v>
      </c>
      <c r="F64" s="8">
        <f>_xlfn.XLOOKUP(Table1[[#This Row],[Product ID]],Table2[Product ID],Table2[Unit Price])</f>
        <v>25</v>
      </c>
      <c r="G64" s="1">
        <f>Table1[[#This Row],[Units Sold]]*Table1[[#This Row],[Unit Price]]</f>
        <v>100</v>
      </c>
      <c r="H64" s="1" t="str" cm="1">
        <f t="array" ref="H64">_xlfn.IFS(Table1[[#This Row],[Total Revenue]]&gt;1000,"High",Table1[[#This Row],[Total Revenue]]&gt;=500,"Medium",Table1[[#This Row],[Total Revenue]]&lt;500,"Low")</f>
        <v>Low</v>
      </c>
      <c r="I64" s="1">
        <f>Table1[[#This Row],[Total Revenue]]*VLOOKUP(Table1[[#This Row],[Product ID]],Table2[],5,FALSE)</f>
        <v>8</v>
      </c>
      <c r="J64" s="1" t="str">
        <f>TEXT(Table1[[#This Row],[Date]],"mmmm")</f>
        <v>December</v>
      </c>
      <c r="K64" s="1"/>
    </row>
    <row r="65" spans="1:11" x14ac:dyDescent="0.3">
      <c r="A65" s="1">
        <v>1079</v>
      </c>
      <c r="B65" s="3">
        <v>45641</v>
      </c>
      <c r="C65" s="1" t="s">
        <v>9</v>
      </c>
      <c r="D65" s="1" t="s">
        <v>10</v>
      </c>
      <c r="E65" s="1">
        <v>20</v>
      </c>
      <c r="F65" s="8">
        <f>_xlfn.XLOOKUP(Table1[[#This Row],[Product ID]],Table2[Product ID],Table2[Unit Price])</f>
        <v>150</v>
      </c>
      <c r="G65" s="1">
        <f>Table1[[#This Row],[Units Sold]]*Table1[[#This Row],[Unit Price]]</f>
        <v>3000</v>
      </c>
      <c r="H65" s="1" t="str" cm="1">
        <f t="array" ref="H65">_xlfn.IFS(Table1[[#This Row],[Total Revenue]]&gt;1000,"High",Table1[[#This Row],[Total Revenue]]&gt;=500,"Medium",Table1[[#This Row],[Total Revenue]]&lt;500,"Low")</f>
        <v>High</v>
      </c>
      <c r="I65" s="1">
        <f>Table1[[#This Row],[Total Revenue]]*VLOOKUP(Table1[[#This Row],[Product ID]],Table2[],5,FALSE)</f>
        <v>450</v>
      </c>
      <c r="J65" s="1" t="str">
        <f>TEXT(Table1[[#This Row],[Date]],"mmmm")</f>
        <v>December</v>
      </c>
      <c r="K65" s="1"/>
    </row>
    <row r="66" spans="1:11" x14ac:dyDescent="0.3">
      <c r="A66" s="1">
        <v>1080</v>
      </c>
      <c r="B66" s="3">
        <v>45642</v>
      </c>
      <c r="C66" s="1" t="s">
        <v>11</v>
      </c>
      <c r="D66" s="1" t="s">
        <v>17</v>
      </c>
      <c r="E66" s="1">
        <v>8</v>
      </c>
      <c r="F66" s="8">
        <f>_xlfn.XLOOKUP(Table1[[#This Row],[Product ID]],Table2[Product ID],Table2[Unit Price])</f>
        <v>85</v>
      </c>
      <c r="G66" s="1">
        <f>Table1[[#This Row],[Units Sold]]*Table1[[#This Row],[Unit Price]]</f>
        <v>680</v>
      </c>
      <c r="H66" s="1" t="str" cm="1">
        <f t="array" ref="H66">_xlfn.IFS(Table1[[#This Row],[Total Revenue]]&gt;1000,"High",Table1[[#This Row],[Total Revenue]]&gt;=500,"Medium",Table1[[#This Row],[Total Revenue]]&lt;500,"Low")</f>
        <v>Medium</v>
      </c>
      <c r="I66" s="1">
        <f>Table1[[#This Row],[Total Revenue]]*VLOOKUP(Table1[[#This Row],[Product ID]],Table2[],5,FALSE)</f>
        <v>81.599999999999994</v>
      </c>
      <c r="J66" s="1" t="str">
        <f>TEXT(Table1[[#This Row],[Date]],"mmmm")</f>
        <v>December</v>
      </c>
      <c r="K66" s="1"/>
    </row>
    <row r="67" spans="1:11" x14ac:dyDescent="0.3">
      <c r="A67" s="1">
        <v>1081</v>
      </c>
      <c r="B67" s="3">
        <v>45643</v>
      </c>
      <c r="C67" s="1" t="s">
        <v>5</v>
      </c>
      <c r="D67" s="1" t="s">
        <v>16</v>
      </c>
      <c r="E67" s="1">
        <v>12</v>
      </c>
      <c r="F67" s="8">
        <f>_xlfn.XLOOKUP(Table1[[#This Row],[Product ID]],Table2[Product ID],Table2[Unit Price])</f>
        <v>20</v>
      </c>
      <c r="G67" s="1">
        <f>Table1[[#This Row],[Units Sold]]*Table1[[#This Row],[Unit Price]]</f>
        <v>240</v>
      </c>
      <c r="H67" s="1" t="str" cm="1">
        <f t="array" ref="H67">_xlfn.IFS(Table1[[#This Row],[Total Revenue]]&gt;1000,"High",Table1[[#This Row],[Total Revenue]]&gt;=500,"Medium",Table1[[#This Row],[Total Revenue]]&lt;500,"Low")</f>
        <v>Low</v>
      </c>
      <c r="I67" s="1">
        <f>Table1[[#This Row],[Total Revenue]]*VLOOKUP(Table1[[#This Row],[Product ID]],Table2[],5,FALSE)</f>
        <v>19.2</v>
      </c>
      <c r="J67" s="1" t="str">
        <f>TEXT(Table1[[#This Row],[Date]],"mmmm")</f>
        <v>December</v>
      </c>
      <c r="K67" s="1"/>
    </row>
    <row r="68" spans="1:11" x14ac:dyDescent="0.3">
      <c r="A68" s="1">
        <v>1082</v>
      </c>
      <c r="B68" s="3">
        <v>45644</v>
      </c>
      <c r="C68" s="1" t="s">
        <v>7</v>
      </c>
      <c r="D68" s="1" t="s">
        <v>6</v>
      </c>
      <c r="E68" s="1">
        <v>10</v>
      </c>
      <c r="F68" s="8">
        <f>_xlfn.XLOOKUP(Table1[[#This Row],[Product ID]],Table2[Product ID],Table2[Unit Price])</f>
        <v>120</v>
      </c>
      <c r="G68" s="1">
        <f>Table1[[#This Row],[Units Sold]]*Table1[[#This Row],[Unit Price]]</f>
        <v>1200</v>
      </c>
      <c r="H68" s="1" t="str" cm="1">
        <f t="array" ref="H68">_xlfn.IFS(Table1[[#This Row],[Total Revenue]]&gt;1000,"High",Table1[[#This Row],[Total Revenue]]&gt;=500,"Medium",Table1[[#This Row],[Total Revenue]]&lt;500,"Low")</f>
        <v>High</v>
      </c>
      <c r="I68" s="1">
        <f>Table1[[#This Row],[Total Revenue]]*VLOOKUP(Table1[[#This Row],[Product ID]],Table2[],5,FALSE)</f>
        <v>180</v>
      </c>
      <c r="J68" s="1" t="str">
        <f>TEXT(Table1[[#This Row],[Date]],"mmmm")</f>
        <v>December</v>
      </c>
      <c r="K68" s="1"/>
    </row>
    <row r="69" spans="1:11" x14ac:dyDescent="0.3">
      <c r="A69" s="1">
        <v>1083</v>
      </c>
      <c r="B69" s="3">
        <v>45645</v>
      </c>
      <c r="C69" s="1" t="s">
        <v>9</v>
      </c>
      <c r="D69" s="1" t="s">
        <v>12</v>
      </c>
      <c r="E69" s="1">
        <v>5</v>
      </c>
      <c r="F69" s="8">
        <f>_xlfn.XLOOKUP(Table1[[#This Row],[Product ID]],Table2[Product ID],Table2[Unit Price])</f>
        <v>35</v>
      </c>
      <c r="G69" s="1">
        <f>Table1[[#This Row],[Units Sold]]*Table1[[#This Row],[Unit Price]]</f>
        <v>175</v>
      </c>
      <c r="H69" s="1" t="str" cm="1">
        <f t="array" ref="H69">_xlfn.IFS(Table1[[#This Row],[Total Revenue]]&gt;1000,"High",Table1[[#This Row],[Total Revenue]]&gt;=500,"Medium",Table1[[#This Row],[Total Revenue]]&lt;500,"Low")</f>
        <v>Low</v>
      </c>
      <c r="I69" s="1">
        <f>Table1[[#This Row],[Total Revenue]]*VLOOKUP(Table1[[#This Row],[Product ID]],Table2[],5,FALSE)</f>
        <v>17.5</v>
      </c>
      <c r="J69" s="1" t="str">
        <f>TEXT(Table1[[#This Row],[Date]],"mmmm")</f>
        <v>December</v>
      </c>
      <c r="K69" s="1"/>
    </row>
    <row r="70" spans="1:11" x14ac:dyDescent="0.3">
      <c r="A70" s="1">
        <v>1084</v>
      </c>
      <c r="B70" s="3">
        <v>45646</v>
      </c>
      <c r="C70" s="1" t="s">
        <v>11</v>
      </c>
      <c r="D70" s="1" t="s">
        <v>8</v>
      </c>
      <c r="E70" s="1">
        <v>6</v>
      </c>
      <c r="F70" s="8">
        <f>_xlfn.XLOOKUP(Table1[[#This Row],[Product ID]],Table2[Product ID],Table2[Unit Price])</f>
        <v>50</v>
      </c>
      <c r="G70" s="1">
        <f>Table1[[#This Row],[Units Sold]]*Table1[[#This Row],[Unit Price]]</f>
        <v>300</v>
      </c>
      <c r="H70" s="1" t="str" cm="1">
        <f t="array" ref="H70">_xlfn.IFS(Table1[[#This Row],[Total Revenue]]&gt;1000,"High",Table1[[#This Row],[Total Revenue]]&gt;=500,"Medium",Table1[[#This Row],[Total Revenue]]&lt;500,"Low")</f>
        <v>Low</v>
      </c>
      <c r="I70" s="1">
        <f>Table1[[#This Row],[Total Revenue]]*VLOOKUP(Table1[[#This Row],[Product ID]],Table2[],5,FALSE)</f>
        <v>30</v>
      </c>
      <c r="J70" s="1" t="str">
        <f>TEXT(Table1[[#This Row],[Date]],"mmmm")</f>
        <v>December</v>
      </c>
      <c r="K70" s="1"/>
    </row>
    <row r="71" spans="1:11" x14ac:dyDescent="0.3">
      <c r="A71" s="1">
        <v>1085</v>
      </c>
      <c r="B71" s="3">
        <v>45647</v>
      </c>
      <c r="C71" s="1" t="s">
        <v>5</v>
      </c>
      <c r="D71" s="1" t="s">
        <v>15</v>
      </c>
      <c r="E71" s="1">
        <v>14</v>
      </c>
      <c r="F71" s="8">
        <f>_xlfn.XLOOKUP(Table1[[#This Row],[Product ID]],Table2[Product ID],Table2[Unit Price])</f>
        <v>180</v>
      </c>
      <c r="G71" s="1">
        <f>Table1[[#This Row],[Units Sold]]*Table1[[#This Row],[Unit Price]]</f>
        <v>2520</v>
      </c>
      <c r="H71" s="1" t="str" cm="1">
        <f t="array" ref="H71">_xlfn.IFS(Table1[[#This Row],[Total Revenue]]&gt;1000,"High",Table1[[#This Row],[Total Revenue]]&gt;=500,"Medium",Table1[[#This Row],[Total Revenue]]&lt;500,"Low")</f>
        <v>High</v>
      </c>
      <c r="I71" s="1">
        <f>Table1[[#This Row],[Total Revenue]]*VLOOKUP(Table1[[#This Row],[Product ID]],Table2[],5,FALSE)</f>
        <v>453.59999999999997</v>
      </c>
      <c r="J71" s="1" t="str">
        <f>TEXT(Table1[[#This Row],[Date]],"mmmm")</f>
        <v>December</v>
      </c>
      <c r="K71" s="1"/>
    </row>
    <row r="72" spans="1:11" x14ac:dyDescent="0.3">
      <c r="A72" s="1">
        <v>1086</v>
      </c>
      <c r="B72" s="3">
        <v>45648</v>
      </c>
      <c r="C72" s="1" t="s">
        <v>7</v>
      </c>
      <c r="D72" s="1" t="s">
        <v>14</v>
      </c>
      <c r="E72" s="1">
        <v>9</v>
      </c>
      <c r="F72" s="8">
        <f>_xlfn.XLOOKUP(Table1[[#This Row],[Product ID]],Table2[Product ID],Table2[Unit Price])</f>
        <v>55</v>
      </c>
      <c r="G72" s="1">
        <f>Table1[[#This Row],[Units Sold]]*Table1[[#This Row],[Unit Price]]</f>
        <v>495</v>
      </c>
      <c r="H72" s="1" t="str" cm="1">
        <f t="array" ref="H72">_xlfn.IFS(Table1[[#This Row],[Total Revenue]]&gt;1000,"High",Table1[[#This Row],[Total Revenue]]&gt;=500,"Medium",Table1[[#This Row],[Total Revenue]]&lt;500,"Low")</f>
        <v>Low</v>
      </c>
      <c r="I72" s="1">
        <f>Table1[[#This Row],[Total Revenue]]*VLOOKUP(Table1[[#This Row],[Product ID]],Table2[],5,FALSE)</f>
        <v>49.5</v>
      </c>
      <c r="J72" s="1" t="str">
        <f>TEXT(Table1[[#This Row],[Date]],"mmmm")</f>
        <v>December</v>
      </c>
      <c r="K72" s="1"/>
    </row>
    <row r="73" spans="1:11" x14ac:dyDescent="0.3">
      <c r="A73" s="1">
        <v>1087</v>
      </c>
      <c r="B73" s="3">
        <v>45649</v>
      </c>
      <c r="C73" s="1" t="s">
        <v>9</v>
      </c>
      <c r="D73" s="1" t="s">
        <v>13</v>
      </c>
      <c r="E73" s="1">
        <v>11</v>
      </c>
      <c r="F73" s="8">
        <f>_xlfn.XLOOKUP(Table1[[#This Row],[Product ID]],Table2[Product ID],Table2[Unit Price])</f>
        <v>25</v>
      </c>
      <c r="G73" s="1">
        <f>Table1[[#This Row],[Units Sold]]*Table1[[#This Row],[Unit Price]]</f>
        <v>275</v>
      </c>
      <c r="H73" s="1" t="str" cm="1">
        <f t="array" ref="H73">_xlfn.IFS(Table1[[#This Row],[Total Revenue]]&gt;1000,"High",Table1[[#This Row],[Total Revenue]]&gt;=500,"Medium",Table1[[#This Row],[Total Revenue]]&lt;500,"Low")</f>
        <v>Low</v>
      </c>
      <c r="I73" s="1">
        <f>Table1[[#This Row],[Total Revenue]]*VLOOKUP(Table1[[#This Row],[Product ID]],Table2[],5,FALSE)</f>
        <v>22</v>
      </c>
      <c r="J73" s="1" t="str">
        <f>TEXT(Table1[[#This Row],[Date]],"mmmm")</f>
        <v>December</v>
      </c>
      <c r="K73" s="1"/>
    </row>
    <row r="74" spans="1:11" x14ac:dyDescent="0.3">
      <c r="A74" s="1">
        <v>1088</v>
      </c>
      <c r="B74" s="3">
        <v>45650</v>
      </c>
      <c r="C74" s="1" t="s">
        <v>11</v>
      </c>
      <c r="D74" s="1" t="s">
        <v>10</v>
      </c>
      <c r="E74" s="1">
        <v>8</v>
      </c>
      <c r="F74" s="8">
        <f>_xlfn.XLOOKUP(Table1[[#This Row],[Product ID]],Table2[Product ID],Table2[Unit Price])</f>
        <v>150</v>
      </c>
      <c r="G74" s="1">
        <f>Table1[[#This Row],[Units Sold]]*Table1[[#This Row],[Unit Price]]</f>
        <v>1200</v>
      </c>
      <c r="H74" s="1" t="str" cm="1">
        <f t="array" ref="H74">_xlfn.IFS(Table1[[#This Row],[Total Revenue]]&gt;1000,"High",Table1[[#This Row],[Total Revenue]]&gt;=500,"Medium",Table1[[#This Row],[Total Revenue]]&lt;500,"Low")</f>
        <v>High</v>
      </c>
      <c r="I74" s="1">
        <f>Table1[[#This Row],[Total Revenue]]*VLOOKUP(Table1[[#This Row],[Product ID]],Table2[],5,FALSE)</f>
        <v>180</v>
      </c>
      <c r="J74" s="1" t="str">
        <f>TEXT(Table1[[#This Row],[Date]],"mmmm")</f>
        <v>December</v>
      </c>
      <c r="K74" s="1"/>
    </row>
    <row r="75" spans="1:11" x14ac:dyDescent="0.3">
      <c r="A75" s="1">
        <v>1089</v>
      </c>
      <c r="B75" s="3">
        <v>45651</v>
      </c>
      <c r="C75" s="1" t="s">
        <v>5</v>
      </c>
      <c r="D75" s="1" t="s">
        <v>17</v>
      </c>
      <c r="E75" s="1">
        <v>4</v>
      </c>
      <c r="F75" s="8">
        <f>_xlfn.XLOOKUP(Table1[[#This Row],[Product ID]],Table2[Product ID],Table2[Unit Price])</f>
        <v>85</v>
      </c>
      <c r="G75" s="1">
        <f>Table1[[#This Row],[Units Sold]]*Table1[[#This Row],[Unit Price]]</f>
        <v>340</v>
      </c>
      <c r="H75" s="1" t="str" cm="1">
        <f t="array" ref="H75">_xlfn.IFS(Table1[[#This Row],[Total Revenue]]&gt;1000,"High",Table1[[#This Row],[Total Revenue]]&gt;=500,"Medium",Table1[[#This Row],[Total Revenue]]&lt;500,"Low")</f>
        <v>Low</v>
      </c>
      <c r="I75" s="1">
        <f>Table1[[#This Row],[Total Revenue]]*VLOOKUP(Table1[[#This Row],[Product ID]],Table2[],5,FALSE)</f>
        <v>40.799999999999997</v>
      </c>
      <c r="J75" s="1" t="str">
        <f>TEXT(Table1[[#This Row],[Date]],"mmmm")</f>
        <v>December</v>
      </c>
      <c r="K75" s="1"/>
    </row>
    <row r="76" spans="1:11" x14ac:dyDescent="0.3">
      <c r="A76" s="1">
        <v>1090</v>
      </c>
      <c r="B76" s="3">
        <v>45652</v>
      </c>
      <c r="C76" s="1" t="s">
        <v>7</v>
      </c>
      <c r="D76" s="1" t="s">
        <v>16</v>
      </c>
      <c r="E76" s="1">
        <v>5</v>
      </c>
      <c r="F76" s="8">
        <f>_xlfn.XLOOKUP(Table1[[#This Row],[Product ID]],Table2[Product ID],Table2[Unit Price])</f>
        <v>20</v>
      </c>
      <c r="G76" s="1">
        <f>Table1[[#This Row],[Units Sold]]*Table1[[#This Row],[Unit Price]]</f>
        <v>100</v>
      </c>
      <c r="H76" s="1" t="str" cm="1">
        <f t="array" ref="H76">_xlfn.IFS(Table1[[#This Row],[Total Revenue]]&gt;1000,"High",Table1[[#This Row],[Total Revenue]]&gt;=500,"Medium",Table1[[#This Row],[Total Revenue]]&lt;500,"Low")</f>
        <v>Low</v>
      </c>
      <c r="I76" s="1">
        <f>Table1[[#This Row],[Total Revenue]]*VLOOKUP(Table1[[#This Row],[Product ID]],Table2[],5,FALSE)</f>
        <v>8</v>
      </c>
      <c r="J76" s="1" t="str">
        <f>TEXT(Table1[[#This Row],[Date]],"mmmm")</f>
        <v>December</v>
      </c>
      <c r="K76" s="1"/>
    </row>
    <row r="77" spans="1:11" x14ac:dyDescent="0.3">
      <c r="A77" s="1">
        <v>1091</v>
      </c>
      <c r="B77" s="3">
        <v>45653</v>
      </c>
      <c r="C77" s="1" t="s">
        <v>9</v>
      </c>
      <c r="D77" s="1" t="s">
        <v>6</v>
      </c>
      <c r="E77" s="1">
        <v>9</v>
      </c>
      <c r="F77" s="8">
        <f>_xlfn.XLOOKUP(Table1[[#This Row],[Product ID]],Table2[Product ID],Table2[Unit Price])</f>
        <v>120</v>
      </c>
      <c r="G77" s="1">
        <f>Table1[[#This Row],[Units Sold]]*Table1[[#This Row],[Unit Price]]</f>
        <v>1080</v>
      </c>
      <c r="H77" s="1" t="str" cm="1">
        <f t="array" ref="H77">_xlfn.IFS(Table1[[#This Row],[Total Revenue]]&gt;1000,"High",Table1[[#This Row],[Total Revenue]]&gt;=500,"Medium",Table1[[#This Row],[Total Revenue]]&lt;500,"Low")</f>
        <v>High</v>
      </c>
      <c r="I77" s="1">
        <f>Table1[[#This Row],[Total Revenue]]*VLOOKUP(Table1[[#This Row],[Product ID]],Table2[],5,FALSE)</f>
        <v>162</v>
      </c>
      <c r="J77" s="1" t="str">
        <f>TEXT(Table1[[#This Row],[Date]],"mmmm")</f>
        <v>December</v>
      </c>
      <c r="K77" s="1"/>
    </row>
    <row r="78" spans="1:11" x14ac:dyDescent="0.3">
      <c r="A78" s="1">
        <v>1092</v>
      </c>
      <c r="B78" s="3">
        <v>45654</v>
      </c>
      <c r="C78" s="1" t="s">
        <v>11</v>
      </c>
      <c r="D78" s="1" t="s">
        <v>12</v>
      </c>
      <c r="E78" s="1">
        <v>7</v>
      </c>
      <c r="F78" s="8">
        <f>_xlfn.XLOOKUP(Table1[[#This Row],[Product ID]],Table2[Product ID],Table2[Unit Price])</f>
        <v>35</v>
      </c>
      <c r="G78" s="1">
        <f>Table1[[#This Row],[Units Sold]]*Table1[[#This Row],[Unit Price]]</f>
        <v>245</v>
      </c>
      <c r="H78" s="1" t="str" cm="1">
        <f t="array" ref="H78">_xlfn.IFS(Table1[[#This Row],[Total Revenue]]&gt;1000,"High",Table1[[#This Row],[Total Revenue]]&gt;=500,"Medium",Table1[[#This Row],[Total Revenue]]&lt;500,"Low")</f>
        <v>Low</v>
      </c>
      <c r="I78" s="1">
        <f>Table1[[#This Row],[Total Revenue]]*VLOOKUP(Table1[[#This Row],[Product ID]],Table2[],5,FALSE)</f>
        <v>24.5</v>
      </c>
      <c r="J78" s="1" t="str">
        <f>TEXT(Table1[[#This Row],[Date]],"mmmm")</f>
        <v>December</v>
      </c>
      <c r="K78" s="1"/>
    </row>
    <row r="79" spans="1:11" x14ac:dyDescent="0.3">
      <c r="A79" s="1">
        <v>1093</v>
      </c>
      <c r="B79" s="3">
        <v>45655</v>
      </c>
      <c r="C79" s="1" t="s">
        <v>5</v>
      </c>
      <c r="D79" s="1" t="s">
        <v>8</v>
      </c>
      <c r="E79" s="1">
        <v>10</v>
      </c>
      <c r="F79" s="8">
        <f>_xlfn.XLOOKUP(Table1[[#This Row],[Product ID]],Table2[Product ID],Table2[Unit Price])</f>
        <v>50</v>
      </c>
      <c r="G79" s="1">
        <f>Table1[[#This Row],[Units Sold]]*Table1[[#This Row],[Unit Price]]</f>
        <v>500</v>
      </c>
      <c r="H79" s="1" t="str" cm="1">
        <f t="array" ref="H79">_xlfn.IFS(Table1[[#This Row],[Total Revenue]]&gt;1000,"High",Table1[[#This Row],[Total Revenue]]&gt;=500,"Medium",Table1[[#This Row],[Total Revenue]]&lt;500,"Low")</f>
        <v>Medium</v>
      </c>
      <c r="I79" s="1">
        <f>Table1[[#This Row],[Total Revenue]]*VLOOKUP(Table1[[#This Row],[Product ID]],Table2[],5,FALSE)</f>
        <v>50</v>
      </c>
      <c r="J79" s="1" t="str">
        <f>TEXT(Table1[[#This Row],[Date]],"mmmm")</f>
        <v>December</v>
      </c>
      <c r="K79" s="1"/>
    </row>
    <row r="80" spans="1:11" x14ac:dyDescent="0.3">
      <c r="A80" s="1">
        <v>1094</v>
      </c>
      <c r="B80" s="3">
        <v>45656</v>
      </c>
      <c r="C80" s="1" t="s">
        <v>7</v>
      </c>
      <c r="D80" s="1" t="s">
        <v>15</v>
      </c>
      <c r="E80" s="1">
        <v>6</v>
      </c>
      <c r="F80" s="8">
        <f>_xlfn.XLOOKUP(Table1[[#This Row],[Product ID]],Table2[Product ID],Table2[Unit Price])</f>
        <v>180</v>
      </c>
      <c r="G80" s="1">
        <f>Table1[[#This Row],[Units Sold]]*Table1[[#This Row],[Unit Price]]</f>
        <v>1080</v>
      </c>
      <c r="H80" s="1" t="str" cm="1">
        <f t="array" ref="H80">_xlfn.IFS(Table1[[#This Row],[Total Revenue]]&gt;1000,"High",Table1[[#This Row],[Total Revenue]]&gt;=500,"Medium",Table1[[#This Row],[Total Revenue]]&lt;500,"Low")</f>
        <v>High</v>
      </c>
      <c r="I80" s="1">
        <f>Table1[[#This Row],[Total Revenue]]*VLOOKUP(Table1[[#This Row],[Product ID]],Table2[],5,FALSE)</f>
        <v>194.4</v>
      </c>
      <c r="J80" s="1" t="str">
        <f>TEXT(Table1[[#This Row],[Date]],"mmmm")</f>
        <v>December</v>
      </c>
      <c r="K80" s="1"/>
    </row>
    <row r="81" spans="1:11" x14ac:dyDescent="0.3">
      <c r="A81" s="1">
        <v>1095</v>
      </c>
      <c r="B81" s="3">
        <v>45657</v>
      </c>
      <c r="C81" s="1" t="s">
        <v>9</v>
      </c>
      <c r="D81" s="1" t="s">
        <v>14</v>
      </c>
      <c r="E81" s="1">
        <v>4</v>
      </c>
      <c r="F81" s="8">
        <f>_xlfn.XLOOKUP(Table1[[#This Row],[Product ID]],Table2[Product ID],Table2[Unit Price])</f>
        <v>55</v>
      </c>
      <c r="G81" s="1">
        <f>Table1[[#This Row],[Units Sold]]*Table1[[#This Row],[Unit Price]]</f>
        <v>220</v>
      </c>
      <c r="H81" s="1" t="str" cm="1">
        <f t="array" ref="H81">_xlfn.IFS(Table1[[#This Row],[Total Revenue]]&gt;1000,"High",Table1[[#This Row],[Total Revenue]]&gt;=500,"Medium",Table1[[#This Row],[Total Revenue]]&lt;500,"Low")</f>
        <v>Low</v>
      </c>
      <c r="I81" s="1">
        <f>Table1[[#This Row],[Total Revenue]]*VLOOKUP(Table1[[#This Row],[Product ID]],Table2[],5,FALSE)</f>
        <v>22</v>
      </c>
      <c r="J81" s="1" t="str">
        <f>TEXT(Table1[[#This Row],[Date]],"mmmm")</f>
        <v>December</v>
      </c>
      <c r="K81" s="1"/>
    </row>
    <row r="82" spans="1:11" x14ac:dyDescent="0.3">
      <c r="A82" s="1">
        <v>1096</v>
      </c>
      <c r="B82" s="3">
        <v>45658</v>
      </c>
      <c r="C82" s="1" t="s">
        <v>11</v>
      </c>
      <c r="D82" s="1" t="s">
        <v>13</v>
      </c>
      <c r="E82" s="1">
        <v>5</v>
      </c>
      <c r="F82" s="8">
        <f>_xlfn.XLOOKUP(Table1[[#This Row],[Product ID]],Table2[Product ID],Table2[Unit Price])</f>
        <v>25</v>
      </c>
      <c r="G82" s="1">
        <f>Table1[[#This Row],[Units Sold]]*Table1[[#This Row],[Unit Price]]</f>
        <v>125</v>
      </c>
      <c r="H82" s="1" t="str" cm="1">
        <f t="array" ref="H82">_xlfn.IFS(Table1[[#This Row],[Total Revenue]]&gt;1000,"High",Table1[[#This Row],[Total Revenue]]&gt;=500,"Medium",Table1[[#This Row],[Total Revenue]]&lt;500,"Low")</f>
        <v>Low</v>
      </c>
      <c r="I82" s="1">
        <f>Table1[[#This Row],[Total Revenue]]*VLOOKUP(Table1[[#This Row],[Product ID]],Table2[],5,FALSE)</f>
        <v>10</v>
      </c>
      <c r="J82" s="1" t="str">
        <f>TEXT(Table1[[#This Row],[Date]],"mmmm")</f>
        <v>January</v>
      </c>
      <c r="K82" s="1"/>
    </row>
    <row r="83" spans="1:11" x14ac:dyDescent="0.3">
      <c r="A83" s="1">
        <v>1097</v>
      </c>
      <c r="B83" s="3">
        <v>45659</v>
      </c>
      <c r="C83" s="1" t="s">
        <v>5</v>
      </c>
      <c r="D83" s="1" t="s">
        <v>10</v>
      </c>
      <c r="E83" s="1">
        <v>11</v>
      </c>
      <c r="F83" s="8">
        <f>_xlfn.XLOOKUP(Table1[[#This Row],[Product ID]],Table2[Product ID],Table2[Unit Price])</f>
        <v>150</v>
      </c>
      <c r="G83" s="1">
        <f>Table1[[#This Row],[Units Sold]]*Table1[[#This Row],[Unit Price]]</f>
        <v>1650</v>
      </c>
      <c r="H83" s="1" t="str" cm="1">
        <f t="array" ref="H83">_xlfn.IFS(Table1[[#This Row],[Total Revenue]]&gt;1000,"High",Table1[[#This Row],[Total Revenue]]&gt;=500,"Medium",Table1[[#This Row],[Total Revenue]]&lt;500,"Low")</f>
        <v>High</v>
      </c>
      <c r="I83" s="1">
        <f>Table1[[#This Row],[Total Revenue]]*VLOOKUP(Table1[[#This Row],[Product ID]],Table2[],5,FALSE)</f>
        <v>247.5</v>
      </c>
      <c r="J83" s="1" t="str">
        <f>TEXT(Table1[[#This Row],[Date]],"mmmm")</f>
        <v>January</v>
      </c>
      <c r="K83" s="1"/>
    </row>
    <row r="84" spans="1:11" x14ac:dyDescent="0.3">
      <c r="A84" s="1">
        <v>1098</v>
      </c>
      <c r="B84" s="3">
        <v>45660</v>
      </c>
      <c r="C84" s="1" t="s">
        <v>7</v>
      </c>
      <c r="D84" s="1" t="s">
        <v>17</v>
      </c>
      <c r="E84" s="1">
        <v>2</v>
      </c>
      <c r="F84" s="8">
        <f>_xlfn.XLOOKUP(Table1[[#This Row],[Product ID]],Table2[Product ID],Table2[Unit Price])</f>
        <v>85</v>
      </c>
      <c r="G84" s="1">
        <f>Table1[[#This Row],[Units Sold]]*Table1[[#This Row],[Unit Price]]</f>
        <v>170</v>
      </c>
      <c r="H84" s="1" t="str" cm="1">
        <f t="array" ref="H84">_xlfn.IFS(Table1[[#This Row],[Total Revenue]]&gt;1000,"High",Table1[[#This Row],[Total Revenue]]&gt;=500,"Medium",Table1[[#This Row],[Total Revenue]]&lt;500,"Low")</f>
        <v>Low</v>
      </c>
      <c r="I84" s="1">
        <f>Table1[[#This Row],[Total Revenue]]*VLOOKUP(Table1[[#This Row],[Product ID]],Table2[],5,FALSE)</f>
        <v>20.399999999999999</v>
      </c>
      <c r="J84" s="1" t="str">
        <f>TEXT(Table1[[#This Row],[Date]],"mmmm")</f>
        <v>January</v>
      </c>
      <c r="K84" s="1"/>
    </row>
    <row r="85" spans="1:11" x14ac:dyDescent="0.3">
      <c r="A85" s="1">
        <v>1099</v>
      </c>
      <c r="B85" s="3">
        <v>45661</v>
      </c>
      <c r="C85" s="1" t="s">
        <v>9</v>
      </c>
      <c r="D85" s="1" t="s">
        <v>16</v>
      </c>
      <c r="E85" s="1">
        <v>3</v>
      </c>
      <c r="F85" s="8">
        <f>_xlfn.XLOOKUP(Table1[[#This Row],[Product ID]],Table2[Product ID],Table2[Unit Price])</f>
        <v>20</v>
      </c>
      <c r="G85" s="1">
        <f>Table1[[#This Row],[Units Sold]]*Table1[[#This Row],[Unit Price]]</f>
        <v>60</v>
      </c>
      <c r="H85" s="1" t="str" cm="1">
        <f t="array" ref="H85">_xlfn.IFS(Table1[[#This Row],[Total Revenue]]&gt;1000,"High",Table1[[#This Row],[Total Revenue]]&gt;=500,"Medium",Table1[[#This Row],[Total Revenue]]&lt;500,"Low")</f>
        <v>Low</v>
      </c>
      <c r="I85" s="1">
        <f>Table1[[#This Row],[Total Revenue]]*VLOOKUP(Table1[[#This Row],[Product ID]],Table2[],5,FALSE)</f>
        <v>4.8</v>
      </c>
      <c r="J85" s="1" t="str">
        <f>TEXT(Table1[[#This Row],[Date]],"mmmm")</f>
        <v>January</v>
      </c>
      <c r="K85" s="1"/>
    </row>
    <row r="86" spans="1:11" x14ac:dyDescent="0.3">
      <c r="A86" s="1">
        <v>1100</v>
      </c>
      <c r="B86" s="3">
        <v>45662</v>
      </c>
      <c r="C86" s="1" t="s">
        <v>11</v>
      </c>
      <c r="D86" s="1" t="s">
        <v>12</v>
      </c>
      <c r="E86" s="1">
        <v>8</v>
      </c>
      <c r="F86" s="8">
        <f>_xlfn.XLOOKUP(Table1[[#This Row],[Product ID]],Table2[Product ID],Table2[Unit Price])</f>
        <v>35</v>
      </c>
      <c r="G86" s="1">
        <f>Table1[[#This Row],[Units Sold]]*Table1[[#This Row],[Unit Price]]</f>
        <v>280</v>
      </c>
      <c r="H86" s="1" t="str" cm="1">
        <f t="array" ref="H86">_xlfn.IFS(Table1[[#This Row],[Total Revenue]]&gt;1000,"High",Table1[[#This Row],[Total Revenue]]&gt;=500,"Medium",Table1[[#This Row],[Total Revenue]]&lt;500,"Low")</f>
        <v>Low</v>
      </c>
      <c r="I86" s="1">
        <f>Table1[[#This Row],[Total Revenue]]*VLOOKUP(Table1[[#This Row],[Product ID]],Table2[],5,FALSE)</f>
        <v>28</v>
      </c>
      <c r="J86" s="1" t="str">
        <f>TEXT(Table1[[#This Row],[Date]],"mmmm")</f>
        <v>January</v>
      </c>
      <c r="K86" s="1"/>
    </row>
    <row r="87" spans="1:11" x14ac:dyDescent="0.3">
      <c r="A87" s="1">
        <v>1101</v>
      </c>
      <c r="B87" s="3">
        <v>45663</v>
      </c>
      <c r="C87" s="1" t="s">
        <v>5</v>
      </c>
      <c r="D87" s="1" t="s">
        <v>6</v>
      </c>
      <c r="E87" s="1">
        <v>12</v>
      </c>
      <c r="F87" s="8">
        <f>_xlfn.XLOOKUP(Table1[[#This Row],[Product ID]],Table2[Product ID],Table2[Unit Price])</f>
        <v>120</v>
      </c>
      <c r="G87" s="1">
        <f>Table1[[#This Row],[Units Sold]]*Table1[[#This Row],[Unit Price]]</f>
        <v>1440</v>
      </c>
      <c r="H87" s="1" t="str" cm="1">
        <f t="array" ref="H87">_xlfn.IFS(Table1[[#This Row],[Total Revenue]]&gt;1000,"High",Table1[[#This Row],[Total Revenue]]&gt;=500,"Medium",Table1[[#This Row],[Total Revenue]]&lt;500,"Low")</f>
        <v>High</v>
      </c>
      <c r="I87" s="1">
        <f>Table1[[#This Row],[Total Revenue]]*VLOOKUP(Table1[[#This Row],[Product ID]],Table2[],5,FALSE)</f>
        <v>216</v>
      </c>
      <c r="J87" s="1" t="str">
        <f>TEXT(Table1[[#This Row],[Date]],"mmmm")</f>
        <v>January</v>
      </c>
      <c r="K87" s="1"/>
    </row>
    <row r="88" spans="1:11" x14ac:dyDescent="0.3">
      <c r="A88" s="1">
        <v>1102</v>
      </c>
      <c r="B88" s="3">
        <v>45664</v>
      </c>
      <c r="C88" s="1" t="s">
        <v>7</v>
      </c>
      <c r="D88" s="1" t="s">
        <v>8</v>
      </c>
      <c r="E88" s="1">
        <v>4</v>
      </c>
      <c r="F88" s="8">
        <f>_xlfn.XLOOKUP(Table1[[#This Row],[Product ID]],Table2[Product ID],Table2[Unit Price])</f>
        <v>50</v>
      </c>
      <c r="G88" s="1">
        <f>Table1[[#This Row],[Units Sold]]*Table1[[#This Row],[Unit Price]]</f>
        <v>200</v>
      </c>
      <c r="H88" s="1" t="str" cm="1">
        <f t="array" ref="H88">_xlfn.IFS(Table1[[#This Row],[Total Revenue]]&gt;1000,"High",Table1[[#This Row],[Total Revenue]]&gt;=500,"Medium",Table1[[#This Row],[Total Revenue]]&lt;500,"Low")</f>
        <v>Low</v>
      </c>
      <c r="I88" s="1">
        <f>Table1[[#This Row],[Total Revenue]]*VLOOKUP(Table1[[#This Row],[Product ID]],Table2[],5,FALSE)</f>
        <v>20</v>
      </c>
      <c r="J88" s="1" t="str">
        <f>TEXT(Table1[[#This Row],[Date]],"mmmm")</f>
        <v>January</v>
      </c>
      <c r="K88" s="1"/>
    </row>
    <row r="89" spans="1:11" x14ac:dyDescent="0.3">
      <c r="A89" s="1">
        <v>1103</v>
      </c>
      <c r="B89" s="3">
        <v>45665</v>
      </c>
      <c r="C89" s="1" t="s">
        <v>9</v>
      </c>
      <c r="D89" s="1" t="s">
        <v>15</v>
      </c>
      <c r="E89" s="1">
        <v>15</v>
      </c>
      <c r="F89" s="8">
        <f>_xlfn.XLOOKUP(Table1[[#This Row],[Product ID]],Table2[Product ID],Table2[Unit Price])</f>
        <v>180</v>
      </c>
      <c r="G89" s="1">
        <f>Table1[[#This Row],[Units Sold]]*Table1[[#This Row],[Unit Price]]</f>
        <v>2700</v>
      </c>
      <c r="H89" s="1" t="str" cm="1">
        <f t="array" ref="H89">_xlfn.IFS(Table1[[#This Row],[Total Revenue]]&gt;1000,"High",Table1[[#This Row],[Total Revenue]]&gt;=500,"Medium",Table1[[#This Row],[Total Revenue]]&lt;500,"Low")</f>
        <v>High</v>
      </c>
      <c r="I89" s="1">
        <f>Table1[[#This Row],[Total Revenue]]*VLOOKUP(Table1[[#This Row],[Product ID]],Table2[],5,FALSE)</f>
        <v>486</v>
      </c>
      <c r="J89" s="1" t="str">
        <f>TEXT(Table1[[#This Row],[Date]],"mmmm")</f>
        <v>January</v>
      </c>
      <c r="K89" s="1"/>
    </row>
    <row r="90" spans="1:11" x14ac:dyDescent="0.3">
      <c r="A90" s="1">
        <v>1104</v>
      </c>
      <c r="B90" s="3">
        <v>45666</v>
      </c>
      <c r="C90" s="1" t="s">
        <v>11</v>
      </c>
      <c r="D90" s="1" t="s">
        <v>14</v>
      </c>
      <c r="E90" s="1">
        <v>10</v>
      </c>
      <c r="F90" s="8">
        <f>_xlfn.XLOOKUP(Table1[[#This Row],[Product ID]],Table2[Product ID],Table2[Unit Price])</f>
        <v>55</v>
      </c>
      <c r="G90" s="1">
        <f>Table1[[#This Row],[Units Sold]]*Table1[[#This Row],[Unit Price]]</f>
        <v>550</v>
      </c>
      <c r="H90" s="1" t="str" cm="1">
        <f t="array" ref="H90">_xlfn.IFS(Table1[[#This Row],[Total Revenue]]&gt;1000,"High",Table1[[#This Row],[Total Revenue]]&gt;=500,"Medium",Table1[[#This Row],[Total Revenue]]&lt;500,"Low")</f>
        <v>Medium</v>
      </c>
      <c r="I90" s="1">
        <f>Table1[[#This Row],[Total Revenue]]*VLOOKUP(Table1[[#This Row],[Product ID]],Table2[],5,FALSE)</f>
        <v>55</v>
      </c>
      <c r="J90" s="1" t="str">
        <f>TEXT(Table1[[#This Row],[Date]],"mmmm")</f>
        <v>January</v>
      </c>
      <c r="K90" s="1"/>
    </row>
    <row r="91" spans="1:11" x14ac:dyDescent="0.3">
      <c r="A91" s="1">
        <v>1105</v>
      </c>
      <c r="B91" s="3">
        <v>45667</v>
      </c>
      <c r="C91" s="1" t="s">
        <v>5</v>
      </c>
      <c r="D91" s="1" t="s">
        <v>13</v>
      </c>
      <c r="E91" s="1">
        <v>9</v>
      </c>
      <c r="F91" s="8">
        <f>_xlfn.XLOOKUP(Table1[[#This Row],[Product ID]],Table2[Product ID],Table2[Unit Price])</f>
        <v>25</v>
      </c>
      <c r="G91" s="1">
        <f>Table1[[#This Row],[Units Sold]]*Table1[[#This Row],[Unit Price]]</f>
        <v>225</v>
      </c>
      <c r="H91" s="1" t="str" cm="1">
        <f t="array" ref="H91">_xlfn.IFS(Table1[[#This Row],[Total Revenue]]&gt;1000,"High",Table1[[#This Row],[Total Revenue]]&gt;=500,"Medium",Table1[[#This Row],[Total Revenue]]&lt;500,"Low")</f>
        <v>Low</v>
      </c>
      <c r="I91" s="1">
        <f>Table1[[#This Row],[Total Revenue]]*VLOOKUP(Table1[[#This Row],[Product ID]],Table2[],5,FALSE)</f>
        <v>18</v>
      </c>
      <c r="J91" s="1" t="str">
        <f>TEXT(Table1[[#This Row],[Date]],"mmmm")</f>
        <v>January</v>
      </c>
      <c r="K91" s="1"/>
    </row>
    <row r="92" spans="1:11" x14ac:dyDescent="0.3">
      <c r="A92" s="1">
        <v>1106</v>
      </c>
      <c r="B92" s="3">
        <v>45668</v>
      </c>
      <c r="C92" s="1" t="s">
        <v>7</v>
      </c>
      <c r="D92" s="1" t="s">
        <v>10</v>
      </c>
      <c r="E92" s="1">
        <v>13</v>
      </c>
      <c r="F92" s="8">
        <f>_xlfn.XLOOKUP(Table1[[#This Row],[Product ID]],Table2[Product ID],Table2[Unit Price])</f>
        <v>150</v>
      </c>
      <c r="G92" s="1">
        <f>Table1[[#This Row],[Units Sold]]*Table1[[#This Row],[Unit Price]]</f>
        <v>1950</v>
      </c>
      <c r="H92" s="1" t="str" cm="1">
        <f t="array" ref="H92">_xlfn.IFS(Table1[[#This Row],[Total Revenue]]&gt;1000,"High",Table1[[#This Row],[Total Revenue]]&gt;=500,"Medium",Table1[[#This Row],[Total Revenue]]&lt;500,"Low")</f>
        <v>High</v>
      </c>
      <c r="I92" s="1">
        <f>Table1[[#This Row],[Total Revenue]]*VLOOKUP(Table1[[#This Row],[Product ID]],Table2[],5,FALSE)</f>
        <v>292.5</v>
      </c>
      <c r="J92" s="1" t="str">
        <f>TEXT(Table1[[#This Row],[Date]],"mmmm")</f>
        <v>January</v>
      </c>
      <c r="K92" s="1"/>
    </row>
    <row r="93" spans="1:11" x14ac:dyDescent="0.3">
      <c r="A93" s="1">
        <v>1107</v>
      </c>
      <c r="B93" s="3">
        <v>45669</v>
      </c>
      <c r="C93" s="1" t="s">
        <v>9</v>
      </c>
      <c r="D93" s="1" t="s">
        <v>17</v>
      </c>
      <c r="E93" s="1">
        <v>6</v>
      </c>
      <c r="F93" s="8">
        <f>_xlfn.XLOOKUP(Table1[[#This Row],[Product ID]],Table2[Product ID],Table2[Unit Price])</f>
        <v>85</v>
      </c>
      <c r="G93" s="1">
        <f>Table1[[#This Row],[Units Sold]]*Table1[[#This Row],[Unit Price]]</f>
        <v>510</v>
      </c>
      <c r="H93" s="1" t="str" cm="1">
        <f t="array" ref="H93">_xlfn.IFS(Table1[[#This Row],[Total Revenue]]&gt;1000,"High",Table1[[#This Row],[Total Revenue]]&gt;=500,"Medium",Table1[[#This Row],[Total Revenue]]&lt;500,"Low")</f>
        <v>Medium</v>
      </c>
      <c r="I93" s="1">
        <f>Table1[[#This Row],[Total Revenue]]*VLOOKUP(Table1[[#This Row],[Product ID]],Table2[],5,FALSE)</f>
        <v>61.199999999999996</v>
      </c>
      <c r="J93" s="1" t="str">
        <f>TEXT(Table1[[#This Row],[Date]],"mmmm")</f>
        <v>January</v>
      </c>
      <c r="K93" s="1"/>
    </row>
    <row r="94" spans="1:11" x14ac:dyDescent="0.3">
      <c r="A94" s="1">
        <v>1108</v>
      </c>
      <c r="B94" s="3">
        <v>45670</v>
      </c>
      <c r="C94" s="1" t="s">
        <v>11</v>
      </c>
      <c r="D94" s="1" t="s">
        <v>16</v>
      </c>
      <c r="E94" s="1">
        <v>8</v>
      </c>
      <c r="F94" s="8">
        <f>_xlfn.XLOOKUP(Table1[[#This Row],[Product ID]],Table2[Product ID],Table2[Unit Price])</f>
        <v>20</v>
      </c>
      <c r="G94" s="1">
        <f>Table1[[#This Row],[Units Sold]]*Table1[[#This Row],[Unit Price]]</f>
        <v>160</v>
      </c>
      <c r="H94" s="1" t="str" cm="1">
        <f t="array" ref="H94">_xlfn.IFS(Table1[[#This Row],[Total Revenue]]&gt;1000,"High",Table1[[#This Row],[Total Revenue]]&gt;=500,"Medium",Table1[[#This Row],[Total Revenue]]&lt;500,"Low")</f>
        <v>Low</v>
      </c>
      <c r="I94" s="1">
        <f>Table1[[#This Row],[Total Revenue]]*VLOOKUP(Table1[[#This Row],[Product ID]],Table2[],5,FALSE)</f>
        <v>12.8</v>
      </c>
      <c r="J94" s="1" t="str">
        <f>TEXT(Table1[[#This Row],[Date]],"mmmm")</f>
        <v>January</v>
      </c>
      <c r="K94" s="1"/>
    </row>
    <row r="95" spans="1:11" x14ac:dyDescent="0.3">
      <c r="A95" s="1">
        <v>1109</v>
      </c>
      <c r="B95" s="3">
        <v>45671</v>
      </c>
      <c r="C95" s="1" t="s">
        <v>5</v>
      </c>
      <c r="D95" s="1" t="s">
        <v>12</v>
      </c>
      <c r="E95" s="1">
        <v>5</v>
      </c>
      <c r="F95" s="8">
        <f>_xlfn.XLOOKUP(Table1[[#This Row],[Product ID]],Table2[Product ID],Table2[Unit Price])</f>
        <v>35</v>
      </c>
      <c r="G95" s="1">
        <f>Table1[[#This Row],[Units Sold]]*Table1[[#This Row],[Unit Price]]</f>
        <v>175</v>
      </c>
      <c r="H95" s="1" t="str" cm="1">
        <f t="array" ref="H95">_xlfn.IFS(Table1[[#This Row],[Total Revenue]]&gt;1000,"High",Table1[[#This Row],[Total Revenue]]&gt;=500,"Medium",Table1[[#This Row],[Total Revenue]]&lt;500,"Low")</f>
        <v>Low</v>
      </c>
      <c r="I95" s="1">
        <f>Table1[[#This Row],[Total Revenue]]*VLOOKUP(Table1[[#This Row],[Product ID]],Table2[],5,FALSE)</f>
        <v>17.5</v>
      </c>
      <c r="J95" s="1" t="str">
        <f>TEXT(Table1[[#This Row],[Date]],"mmmm")</f>
        <v>January</v>
      </c>
      <c r="K95" s="1"/>
    </row>
    <row r="96" spans="1:11" x14ac:dyDescent="0.3">
      <c r="A96" s="1">
        <v>1110</v>
      </c>
      <c r="B96" s="3">
        <v>45672</v>
      </c>
      <c r="C96" s="1" t="s">
        <v>7</v>
      </c>
      <c r="D96" s="1" t="s">
        <v>6</v>
      </c>
      <c r="E96" s="1">
        <v>10</v>
      </c>
      <c r="F96" s="8">
        <f>_xlfn.XLOOKUP(Table1[[#This Row],[Product ID]],Table2[Product ID],Table2[Unit Price])</f>
        <v>120</v>
      </c>
      <c r="G96" s="1">
        <f>Table1[[#This Row],[Units Sold]]*Table1[[#This Row],[Unit Price]]</f>
        <v>1200</v>
      </c>
      <c r="H96" s="1" t="str" cm="1">
        <f t="array" ref="H96">_xlfn.IFS(Table1[[#This Row],[Total Revenue]]&gt;1000,"High",Table1[[#This Row],[Total Revenue]]&gt;=500,"Medium",Table1[[#This Row],[Total Revenue]]&lt;500,"Low")</f>
        <v>High</v>
      </c>
      <c r="I96" s="1">
        <f>Table1[[#This Row],[Total Revenue]]*VLOOKUP(Table1[[#This Row],[Product ID]],Table2[],5,FALSE)</f>
        <v>180</v>
      </c>
      <c r="J96" s="1" t="str">
        <f>TEXT(Table1[[#This Row],[Date]],"mmmm")</f>
        <v>January</v>
      </c>
      <c r="K96" s="1"/>
    </row>
    <row r="97" spans="1:11" x14ac:dyDescent="0.3">
      <c r="A97" s="1">
        <v>1111</v>
      </c>
      <c r="B97" s="3">
        <v>45673</v>
      </c>
      <c r="C97" s="1" t="s">
        <v>9</v>
      </c>
      <c r="D97" s="1" t="s">
        <v>8</v>
      </c>
      <c r="E97" s="1">
        <v>8</v>
      </c>
      <c r="F97" s="8">
        <f>_xlfn.XLOOKUP(Table1[[#This Row],[Product ID]],Table2[Product ID],Table2[Unit Price])</f>
        <v>50</v>
      </c>
      <c r="G97" s="1">
        <f>Table1[[#This Row],[Units Sold]]*Table1[[#This Row],[Unit Price]]</f>
        <v>400</v>
      </c>
      <c r="H97" s="1" t="str" cm="1">
        <f t="array" ref="H97">_xlfn.IFS(Table1[[#This Row],[Total Revenue]]&gt;1000,"High",Table1[[#This Row],[Total Revenue]]&gt;=500,"Medium",Table1[[#This Row],[Total Revenue]]&lt;500,"Low")</f>
        <v>Low</v>
      </c>
      <c r="I97" s="1">
        <f>Table1[[#This Row],[Total Revenue]]*VLOOKUP(Table1[[#This Row],[Product ID]],Table2[],5,FALSE)</f>
        <v>40</v>
      </c>
      <c r="J97" s="1" t="str">
        <f>TEXT(Table1[[#This Row],[Date]],"mmmm")</f>
        <v>January</v>
      </c>
      <c r="K97" s="1"/>
    </row>
    <row r="98" spans="1:11" x14ac:dyDescent="0.3">
      <c r="A98" s="1">
        <v>1112</v>
      </c>
      <c r="B98" s="3">
        <v>45674</v>
      </c>
      <c r="C98" s="1" t="s">
        <v>11</v>
      </c>
      <c r="D98" s="1" t="s">
        <v>15</v>
      </c>
      <c r="E98" s="1">
        <v>6</v>
      </c>
      <c r="F98" s="8">
        <f>_xlfn.XLOOKUP(Table1[[#This Row],[Product ID]],Table2[Product ID],Table2[Unit Price])</f>
        <v>180</v>
      </c>
      <c r="G98" s="1">
        <f>Table1[[#This Row],[Units Sold]]*Table1[[#This Row],[Unit Price]]</f>
        <v>1080</v>
      </c>
      <c r="H98" s="1" t="str" cm="1">
        <f t="array" ref="H98">_xlfn.IFS(Table1[[#This Row],[Total Revenue]]&gt;1000,"High",Table1[[#This Row],[Total Revenue]]&gt;=500,"Medium",Table1[[#This Row],[Total Revenue]]&lt;500,"Low")</f>
        <v>High</v>
      </c>
      <c r="I98" s="1">
        <f>Table1[[#This Row],[Total Revenue]]*VLOOKUP(Table1[[#This Row],[Product ID]],Table2[],5,FALSE)</f>
        <v>194.4</v>
      </c>
      <c r="J98" s="1" t="str">
        <f>TEXT(Table1[[#This Row],[Date]],"mmmm")</f>
        <v>January</v>
      </c>
      <c r="K98" s="1"/>
    </row>
    <row r="99" spans="1:11" x14ac:dyDescent="0.3">
      <c r="A99" s="1">
        <v>1113</v>
      </c>
      <c r="B99" s="3">
        <v>45675</v>
      </c>
      <c r="C99" s="1" t="s">
        <v>5</v>
      </c>
      <c r="D99" s="1" t="s">
        <v>14</v>
      </c>
      <c r="E99" s="1">
        <v>7</v>
      </c>
      <c r="F99" s="8">
        <f>_xlfn.XLOOKUP(Table1[[#This Row],[Product ID]],Table2[Product ID],Table2[Unit Price])</f>
        <v>55</v>
      </c>
      <c r="G99" s="1">
        <f>Table1[[#This Row],[Units Sold]]*Table1[[#This Row],[Unit Price]]</f>
        <v>385</v>
      </c>
      <c r="H99" s="1" t="str" cm="1">
        <f t="array" ref="H99">_xlfn.IFS(Table1[[#This Row],[Total Revenue]]&gt;1000,"High",Table1[[#This Row],[Total Revenue]]&gt;=500,"Medium",Table1[[#This Row],[Total Revenue]]&lt;500,"Low")</f>
        <v>Low</v>
      </c>
      <c r="I99" s="1">
        <f>Table1[[#This Row],[Total Revenue]]*VLOOKUP(Table1[[#This Row],[Product ID]],Table2[],5,FALSE)</f>
        <v>38.5</v>
      </c>
      <c r="J99" s="1" t="str">
        <f>TEXT(Table1[[#This Row],[Date]],"mmmm")</f>
        <v>January</v>
      </c>
      <c r="K99" s="1"/>
    </row>
    <row r="100" spans="1:11" x14ac:dyDescent="0.3">
      <c r="A100" s="1">
        <v>1114</v>
      </c>
      <c r="B100" s="3">
        <v>45676</v>
      </c>
      <c r="C100" s="1" t="s">
        <v>7</v>
      </c>
      <c r="D100" s="1" t="s">
        <v>13</v>
      </c>
      <c r="E100" s="1">
        <v>4</v>
      </c>
      <c r="F100" s="8">
        <f>_xlfn.XLOOKUP(Table1[[#This Row],[Product ID]],Table2[Product ID],Table2[Unit Price])</f>
        <v>25</v>
      </c>
      <c r="G100" s="1">
        <f>Table1[[#This Row],[Units Sold]]*Table1[[#This Row],[Unit Price]]</f>
        <v>100</v>
      </c>
      <c r="H100" s="1" t="str" cm="1">
        <f t="array" ref="H100">_xlfn.IFS(Table1[[#This Row],[Total Revenue]]&gt;1000,"High",Table1[[#This Row],[Total Revenue]]&gt;=500,"Medium",Table1[[#This Row],[Total Revenue]]&lt;500,"Low")</f>
        <v>Low</v>
      </c>
      <c r="I100" s="1">
        <f>Table1[[#This Row],[Total Revenue]]*VLOOKUP(Table1[[#This Row],[Product ID]],Table2[],5,FALSE)</f>
        <v>8</v>
      </c>
      <c r="J100" s="1" t="str">
        <f>TEXT(Table1[[#This Row],[Date]],"mmmm")</f>
        <v>January</v>
      </c>
      <c r="K100" s="1"/>
    </row>
    <row r="101" spans="1:11" x14ac:dyDescent="0.3">
      <c r="A101" s="1">
        <v>1115</v>
      </c>
      <c r="B101" s="3">
        <v>45677</v>
      </c>
      <c r="C101" s="1" t="s">
        <v>9</v>
      </c>
      <c r="D101" s="1" t="s">
        <v>10</v>
      </c>
      <c r="E101" s="1">
        <v>12</v>
      </c>
      <c r="F101" s="8">
        <f>_xlfn.XLOOKUP(Table1[[#This Row],[Product ID]],Table2[Product ID],Table2[Unit Price])</f>
        <v>150</v>
      </c>
      <c r="G101" s="1">
        <f>Table1[[#This Row],[Units Sold]]*Table1[[#This Row],[Unit Price]]</f>
        <v>1800</v>
      </c>
      <c r="H101" s="1" t="str" cm="1">
        <f t="array" ref="H101">_xlfn.IFS(Table1[[#This Row],[Total Revenue]]&gt;1000,"High",Table1[[#This Row],[Total Revenue]]&gt;=500,"Medium",Table1[[#This Row],[Total Revenue]]&lt;500,"Low")</f>
        <v>High</v>
      </c>
      <c r="I101" s="1">
        <f>Table1[[#This Row],[Total Revenue]]*VLOOKUP(Table1[[#This Row],[Product ID]],Table2[],5,FALSE)</f>
        <v>270</v>
      </c>
      <c r="J101" s="1" t="str">
        <f>TEXT(Table1[[#This Row],[Date]],"mmmm")</f>
        <v>January</v>
      </c>
      <c r="K101" s="1"/>
    </row>
    <row r="102" spans="1:11" x14ac:dyDescent="0.3">
      <c r="A102" s="1">
        <v>1116</v>
      </c>
      <c r="B102" s="3">
        <v>45678</v>
      </c>
      <c r="C102" s="1" t="s">
        <v>11</v>
      </c>
      <c r="D102" s="1" t="s">
        <v>17</v>
      </c>
      <c r="E102" s="1">
        <v>9</v>
      </c>
      <c r="F102" s="8">
        <f>_xlfn.XLOOKUP(Table1[[#This Row],[Product ID]],Table2[Product ID],Table2[Unit Price])</f>
        <v>85</v>
      </c>
      <c r="G102" s="1">
        <f>Table1[[#This Row],[Units Sold]]*Table1[[#This Row],[Unit Price]]</f>
        <v>765</v>
      </c>
      <c r="H102" s="1" t="str" cm="1">
        <f t="array" ref="H102">_xlfn.IFS(Table1[[#This Row],[Total Revenue]]&gt;1000,"High",Table1[[#This Row],[Total Revenue]]&gt;=500,"Medium",Table1[[#This Row],[Total Revenue]]&lt;500,"Low")</f>
        <v>Medium</v>
      </c>
      <c r="I102" s="1">
        <f>Table1[[#This Row],[Total Revenue]]*VLOOKUP(Table1[[#This Row],[Product ID]],Table2[],5,FALSE)</f>
        <v>91.8</v>
      </c>
      <c r="J102" s="1" t="str">
        <f>TEXT(Table1[[#This Row],[Date]],"mmmm")</f>
        <v>January</v>
      </c>
      <c r="K102" s="1"/>
    </row>
    <row r="103" spans="1:11" x14ac:dyDescent="0.3">
      <c r="A103" s="1">
        <v>1117</v>
      </c>
      <c r="B103" s="3">
        <v>45679</v>
      </c>
      <c r="C103" s="1" t="s">
        <v>5</v>
      </c>
      <c r="D103" s="1" t="s">
        <v>16</v>
      </c>
      <c r="E103" s="1">
        <v>6</v>
      </c>
      <c r="F103" s="8">
        <f>_xlfn.XLOOKUP(Table1[[#This Row],[Product ID]],Table2[Product ID],Table2[Unit Price])</f>
        <v>20</v>
      </c>
      <c r="G103" s="1">
        <f>Table1[[#This Row],[Units Sold]]*Table1[[#This Row],[Unit Price]]</f>
        <v>120</v>
      </c>
      <c r="H103" s="1" t="str" cm="1">
        <f t="array" ref="H103">_xlfn.IFS(Table1[[#This Row],[Total Revenue]]&gt;1000,"High",Table1[[#This Row],[Total Revenue]]&gt;=500,"Medium",Table1[[#This Row],[Total Revenue]]&lt;500,"Low")</f>
        <v>Low</v>
      </c>
      <c r="I103" s="1">
        <f>Table1[[#This Row],[Total Revenue]]*VLOOKUP(Table1[[#This Row],[Product ID]],Table2[],5,FALSE)</f>
        <v>9.6</v>
      </c>
      <c r="J103" s="1" t="str">
        <f>TEXT(Table1[[#This Row],[Date]],"mmmm")</f>
        <v>January</v>
      </c>
      <c r="K103" s="1"/>
    </row>
    <row r="104" spans="1:11" x14ac:dyDescent="0.3">
      <c r="A104" s="1">
        <v>1118</v>
      </c>
      <c r="B104" s="3">
        <v>45680</v>
      </c>
      <c r="C104" s="1" t="s">
        <v>7</v>
      </c>
      <c r="D104" s="1" t="s">
        <v>6</v>
      </c>
      <c r="E104" s="1">
        <v>8</v>
      </c>
      <c r="F104" s="8">
        <f>_xlfn.XLOOKUP(Table1[[#This Row],[Product ID]],Table2[Product ID],Table2[Unit Price])</f>
        <v>120</v>
      </c>
      <c r="G104" s="1">
        <f>Table1[[#This Row],[Units Sold]]*Table1[[#This Row],[Unit Price]]</f>
        <v>960</v>
      </c>
      <c r="H104" s="1" t="str" cm="1">
        <f t="array" ref="H104">_xlfn.IFS(Table1[[#This Row],[Total Revenue]]&gt;1000,"High",Table1[[#This Row],[Total Revenue]]&gt;=500,"Medium",Table1[[#This Row],[Total Revenue]]&lt;500,"Low")</f>
        <v>Medium</v>
      </c>
      <c r="I104" s="1">
        <f>Table1[[#This Row],[Total Revenue]]*VLOOKUP(Table1[[#This Row],[Product ID]],Table2[],5,FALSE)</f>
        <v>144</v>
      </c>
      <c r="J104" s="1" t="str">
        <f>TEXT(Table1[[#This Row],[Date]],"mmmm")</f>
        <v>January</v>
      </c>
      <c r="K104" s="1"/>
    </row>
    <row r="105" spans="1:11" x14ac:dyDescent="0.3">
      <c r="A105" s="1">
        <v>1119</v>
      </c>
      <c r="B105" s="3">
        <v>45681</v>
      </c>
      <c r="C105" s="1" t="s">
        <v>9</v>
      </c>
      <c r="D105" s="1" t="s">
        <v>12</v>
      </c>
      <c r="E105" s="1">
        <v>11</v>
      </c>
      <c r="F105" s="8">
        <f>_xlfn.XLOOKUP(Table1[[#This Row],[Product ID]],Table2[Product ID],Table2[Unit Price])</f>
        <v>35</v>
      </c>
      <c r="G105" s="1">
        <f>Table1[[#This Row],[Units Sold]]*Table1[[#This Row],[Unit Price]]</f>
        <v>385</v>
      </c>
      <c r="H105" s="1" t="str" cm="1">
        <f t="array" ref="H105">_xlfn.IFS(Table1[[#This Row],[Total Revenue]]&gt;1000,"High",Table1[[#This Row],[Total Revenue]]&gt;=500,"Medium",Table1[[#This Row],[Total Revenue]]&lt;500,"Low")</f>
        <v>Low</v>
      </c>
      <c r="I105" s="1">
        <f>Table1[[#This Row],[Total Revenue]]*VLOOKUP(Table1[[#This Row],[Product ID]],Table2[],5,FALSE)</f>
        <v>38.5</v>
      </c>
      <c r="J105" s="1" t="str">
        <f>TEXT(Table1[[#This Row],[Date]],"mmmm")</f>
        <v>January</v>
      </c>
      <c r="K105" s="1"/>
    </row>
    <row r="106" spans="1:11" x14ac:dyDescent="0.3">
      <c r="A106" s="1">
        <v>1120</v>
      </c>
      <c r="B106" s="3">
        <v>45682</v>
      </c>
      <c r="C106" s="1" t="s">
        <v>11</v>
      </c>
      <c r="D106" s="1" t="s">
        <v>8</v>
      </c>
      <c r="E106" s="1">
        <v>5</v>
      </c>
      <c r="F106" s="8">
        <f>_xlfn.XLOOKUP(Table1[[#This Row],[Product ID]],Table2[Product ID],Table2[Unit Price])</f>
        <v>50</v>
      </c>
      <c r="G106" s="1">
        <f>Table1[[#This Row],[Units Sold]]*Table1[[#This Row],[Unit Price]]</f>
        <v>250</v>
      </c>
      <c r="H106" s="1" t="str" cm="1">
        <f t="array" ref="H106">_xlfn.IFS(Table1[[#This Row],[Total Revenue]]&gt;1000,"High",Table1[[#This Row],[Total Revenue]]&gt;=500,"Medium",Table1[[#This Row],[Total Revenue]]&lt;500,"Low")</f>
        <v>Low</v>
      </c>
      <c r="I106" s="1">
        <f>Table1[[#This Row],[Total Revenue]]*VLOOKUP(Table1[[#This Row],[Product ID]],Table2[],5,FALSE)</f>
        <v>25</v>
      </c>
      <c r="J106" s="1" t="str">
        <f>TEXT(Table1[[#This Row],[Date]],"mmmm")</f>
        <v>January</v>
      </c>
      <c r="K106" s="1"/>
    </row>
    <row r="107" spans="1:11" x14ac:dyDescent="0.3">
      <c r="A107" s="1">
        <v>1121</v>
      </c>
      <c r="B107" s="3">
        <v>45683</v>
      </c>
      <c r="C107" s="1" t="s">
        <v>5</v>
      </c>
      <c r="D107" s="1" t="s">
        <v>15</v>
      </c>
      <c r="E107" s="1">
        <v>10</v>
      </c>
      <c r="F107" s="8">
        <f>_xlfn.XLOOKUP(Table1[[#This Row],[Product ID]],Table2[Product ID],Table2[Unit Price])</f>
        <v>180</v>
      </c>
      <c r="G107" s="1">
        <f>Table1[[#This Row],[Units Sold]]*Table1[[#This Row],[Unit Price]]</f>
        <v>1800</v>
      </c>
      <c r="H107" s="1" t="str" cm="1">
        <f t="array" ref="H107">_xlfn.IFS(Table1[[#This Row],[Total Revenue]]&gt;1000,"High",Table1[[#This Row],[Total Revenue]]&gt;=500,"Medium",Table1[[#This Row],[Total Revenue]]&lt;500,"Low")</f>
        <v>High</v>
      </c>
      <c r="I107" s="1">
        <f>Table1[[#This Row],[Total Revenue]]*VLOOKUP(Table1[[#This Row],[Product ID]],Table2[],5,FALSE)</f>
        <v>324</v>
      </c>
      <c r="J107" s="1" t="str">
        <f>TEXT(Table1[[#This Row],[Date]],"mmmm")</f>
        <v>January</v>
      </c>
      <c r="K107" s="1"/>
    </row>
    <row r="108" spans="1:11" x14ac:dyDescent="0.3">
      <c r="A108" s="1">
        <v>1122</v>
      </c>
      <c r="B108" s="3">
        <v>45684</v>
      </c>
      <c r="C108" s="1" t="s">
        <v>7</v>
      </c>
      <c r="D108" s="1" t="s">
        <v>14</v>
      </c>
      <c r="E108" s="1">
        <v>8</v>
      </c>
      <c r="F108" s="8">
        <f>_xlfn.XLOOKUP(Table1[[#This Row],[Product ID]],Table2[Product ID],Table2[Unit Price])</f>
        <v>55</v>
      </c>
      <c r="G108" s="1">
        <f>Table1[[#This Row],[Units Sold]]*Table1[[#This Row],[Unit Price]]</f>
        <v>440</v>
      </c>
      <c r="H108" s="1" t="str" cm="1">
        <f t="array" ref="H108">_xlfn.IFS(Table1[[#This Row],[Total Revenue]]&gt;1000,"High",Table1[[#This Row],[Total Revenue]]&gt;=500,"Medium",Table1[[#This Row],[Total Revenue]]&lt;500,"Low")</f>
        <v>Low</v>
      </c>
      <c r="I108" s="1">
        <f>Table1[[#This Row],[Total Revenue]]*VLOOKUP(Table1[[#This Row],[Product ID]],Table2[],5,FALSE)</f>
        <v>44</v>
      </c>
      <c r="J108" s="1" t="str">
        <f>TEXT(Table1[[#This Row],[Date]],"mmmm")</f>
        <v>January</v>
      </c>
      <c r="K108" s="1"/>
    </row>
    <row r="109" spans="1:11" x14ac:dyDescent="0.3">
      <c r="A109" s="1">
        <v>1123</v>
      </c>
      <c r="B109" s="3">
        <v>45685</v>
      </c>
      <c r="C109" s="1" t="s">
        <v>9</v>
      </c>
      <c r="D109" s="1" t="s">
        <v>13</v>
      </c>
      <c r="E109" s="1">
        <v>7</v>
      </c>
      <c r="F109" s="8">
        <f>_xlfn.XLOOKUP(Table1[[#This Row],[Product ID]],Table2[Product ID],Table2[Unit Price])</f>
        <v>25</v>
      </c>
      <c r="G109" s="1">
        <f>Table1[[#This Row],[Units Sold]]*Table1[[#This Row],[Unit Price]]</f>
        <v>175</v>
      </c>
      <c r="H109" s="1" t="str" cm="1">
        <f t="array" ref="H109">_xlfn.IFS(Table1[[#This Row],[Total Revenue]]&gt;1000,"High",Table1[[#This Row],[Total Revenue]]&gt;=500,"Medium",Table1[[#This Row],[Total Revenue]]&lt;500,"Low")</f>
        <v>Low</v>
      </c>
      <c r="I109" s="1">
        <f>Table1[[#This Row],[Total Revenue]]*VLOOKUP(Table1[[#This Row],[Product ID]],Table2[],5,FALSE)</f>
        <v>14</v>
      </c>
      <c r="J109" s="1" t="str">
        <f>TEXT(Table1[[#This Row],[Date]],"mmmm")</f>
        <v>January</v>
      </c>
      <c r="K109" s="1"/>
    </row>
    <row r="110" spans="1:11" x14ac:dyDescent="0.3">
      <c r="A110" s="1">
        <v>1124</v>
      </c>
      <c r="B110" s="3">
        <v>45686</v>
      </c>
      <c r="C110" s="1" t="s">
        <v>11</v>
      </c>
      <c r="D110" s="1" t="s">
        <v>10</v>
      </c>
      <c r="E110" s="1">
        <v>9</v>
      </c>
      <c r="F110" s="8">
        <f>_xlfn.XLOOKUP(Table1[[#This Row],[Product ID]],Table2[Product ID],Table2[Unit Price])</f>
        <v>150</v>
      </c>
      <c r="G110" s="1">
        <f>Table1[[#This Row],[Units Sold]]*Table1[[#This Row],[Unit Price]]</f>
        <v>1350</v>
      </c>
      <c r="H110" s="1" t="str" cm="1">
        <f t="array" ref="H110">_xlfn.IFS(Table1[[#This Row],[Total Revenue]]&gt;1000,"High",Table1[[#This Row],[Total Revenue]]&gt;=500,"Medium",Table1[[#This Row],[Total Revenue]]&lt;500,"Low")</f>
        <v>High</v>
      </c>
      <c r="I110" s="1">
        <f>Table1[[#This Row],[Total Revenue]]*VLOOKUP(Table1[[#This Row],[Product ID]],Table2[],5,FALSE)</f>
        <v>202.5</v>
      </c>
      <c r="J110" s="1" t="str">
        <f>TEXT(Table1[[#This Row],[Date]],"mmmm")</f>
        <v>January</v>
      </c>
      <c r="K110" s="1"/>
    </row>
    <row r="111" spans="1:11" x14ac:dyDescent="0.3">
      <c r="A111" s="1">
        <v>1125</v>
      </c>
      <c r="B111" s="3">
        <v>45687</v>
      </c>
      <c r="C111" s="1" t="s">
        <v>5</v>
      </c>
      <c r="D111" s="1" t="s">
        <v>17</v>
      </c>
      <c r="E111" s="1">
        <v>6</v>
      </c>
      <c r="F111" s="8">
        <f>_xlfn.XLOOKUP(Table1[[#This Row],[Product ID]],Table2[Product ID],Table2[Unit Price])</f>
        <v>85</v>
      </c>
      <c r="G111" s="1">
        <f>Table1[[#This Row],[Units Sold]]*Table1[[#This Row],[Unit Price]]</f>
        <v>510</v>
      </c>
      <c r="H111" s="1" t="str" cm="1">
        <f t="array" ref="H111">_xlfn.IFS(Table1[[#This Row],[Total Revenue]]&gt;1000,"High",Table1[[#This Row],[Total Revenue]]&gt;=500,"Medium",Table1[[#This Row],[Total Revenue]]&lt;500,"Low")</f>
        <v>Medium</v>
      </c>
      <c r="I111" s="1">
        <f>Table1[[#This Row],[Total Revenue]]*VLOOKUP(Table1[[#This Row],[Product ID]],Table2[],5,FALSE)</f>
        <v>61.199999999999996</v>
      </c>
      <c r="J111" s="1" t="str">
        <f>TEXT(Table1[[#This Row],[Date]],"mmmm")</f>
        <v>January</v>
      </c>
      <c r="K111" s="1"/>
    </row>
    <row r="112" spans="1:11" x14ac:dyDescent="0.3">
      <c r="A112" s="1">
        <v>1126</v>
      </c>
      <c r="B112" s="3">
        <v>45688</v>
      </c>
      <c r="C112" s="1" t="s">
        <v>7</v>
      </c>
      <c r="D112" s="1" t="s">
        <v>16</v>
      </c>
      <c r="E112" s="1">
        <v>5</v>
      </c>
      <c r="F112" s="8">
        <f>_xlfn.XLOOKUP(Table1[[#This Row],[Product ID]],Table2[Product ID],Table2[Unit Price])</f>
        <v>20</v>
      </c>
      <c r="G112" s="1">
        <f>Table1[[#This Row],[Units Sold]]*Table1[[#This Row],[Unit Price]]</f>
        <v>100</v>
      </c>
      <c r="H112" s="1" t="str" cm="1">
        <f t="array" ref="H112">_xlfn.IFS(Table1[[#This Row],[Total Revenue]]&gt;1000,"High",Table1[[#This Row],[Total Revenue]]&gt;=500,"Medium",Table1[[#This Row],[Total Revenue]]&lt;500,"Low")</f>
        <v>Low</v>
      </c>
      <c r="I112" s="1">
        <f>Table1[[#This Row],[Total Revenue]]*VLOOKUP(Table1[[#This Row],[Product ID]],Table2[],5,FALSE)</f>
        <v>8</v>
      </c>
      <c r="J112" s="1" t="str">
        <f>TEXT(Table1[[#This Row],[Date]],"mmmm")</f>
        <v>January</v>
      </c>
      <c r="K112" s="1"/>
    </row>
    <row r="113" spans="1:11" x14ac:dyDescent="0.3">
      <c r="A113" s="1">
        <v>1127</v>
      </c>
      <c r="B113" s="3">
        <v>45689</v>
      </c>
      <c r="C113" s="1" t="s">
        <v>9</v>
      </c>
      <c r="D113" s="1" t="s">
        <v>12</v>
      </c>
      <c r="E113" s="1">
        <v>4</v>
      </c>
      <c r="F113" s="8">
        <f>_xlfn.XLOOKUP(Table1[[#This Row],[Product ID]],Table2[Product ID],Table2[Unit Price])</f>
        <v>35</v>
      </c>
      <c r="G113" s="1">
        <f>Table1[[#This Row],[Units Sold]]*Table1[[#This Row],[Unit Price]]</f>
        <v>140</v>
      </c>
      <c r="H113" s="1" t="str" cm="1">
        <f t="array" ref="H113">_xlfn.IFS(Table1[[#This Row],[Total Revenue]]&gt;1000,"High",Table1[[#This Row],[Total Revenue]]&gt;=500,"Medium",Table1[[#This Row],[Total Revenue]]&lt;500,"Low")</f>
        <v>Low</v>
      </c>
      <c r="I113" s="1">
        <f>Table1[[#This Row],[Total Revenue]]*VLOOKUP(Table1[[#This Row],[Product ID]],Table2[],5,FALSE)</f>
        <v>14</v>
      </c>
      <c r="J113" s="1" t="str">
        <f>TEXT(Table1[[#This Row],[Date]],"mmmm")</f>
        <v>February</v>
      </c>
      <c r="K113" s="1"/>
    </row>
    <row r="114" spans="1:11" x14ac:dyDescent="0.3">
      <c r="A114" s="1">
        <v>1128</v>
      </c>
      <c r="B114" s="3">
        <v>45690</v>
      </c>
      <c r="C114" s="1" t="s">
        <v>11</v>
      </c>
      <c r="D114" s="1" t="s">
        <v>6</v>
      </c>
      <c r="E114" s="1">
        <v>10</v>
      </c>
      <c r="F114" s="8">
        <f>_xlfn.XLOOKUP(Table1[[#This Row],[Product ID]],Table2[Product ID],Table2[Unit Price])</f>
        <v>120</v>
      </c>
      <c r="G114" s="1">
        <f>Table1[[#This Row],[Units Sold]]*Table1[[#This Row],[Unit Price]]</f>
        <v>1200</v>
      </c>
      <c r="H114" s="1" t="str" cm="1">
        <f t="array" ref="H114">_xlfn.IFS(Table1[[#This Row],[Total Revenue]]&gt;1000,"High",Table1[[#This Row],[Total Revenue]]&gt;=500,"Medium",Table1[[#This Row],[Total Revenue]]&lt;500,"Low")</f>
        <v>High</v>
      </c>
      <c r="I114" s="1">
        <f>Table1[[#This Row],[Total Revenue]]*VLOOKUP(Table1[[#This Row],[Product ID]],Table2[],5,FALSE)</f>
        <v>180</v>
      </c>
      <c r="J114" s="1" t="str">
        <f>TEXT(Table1[[#This Row],[Date]],"mmmm")</f>
        <v>February</v>
      </c>
      <c r="K114" s="1"/>
    </row>
    <row r="115" spans="1:11" x14ac:dyDescent="0.3">
      <c r="A115" s="1">
        <v>1129</v>
      </c>
      <c r="B115" s="3">
        <v>45691</v>
      </c>
      <c r="C115" s="1" t="s">
        <v>5</v>
      </c>
      <c r="D115" s="1" t="s">
        <v>8</v>
      </c>
      <c r="E115" s="1">
        <v>8</v>
      </c>
      <c r="F115" s="8">
        <f>_xlfn.XLOOKUP(Table1[[#This Row],[Product ID]],Table2[Product ID],Table2[Unit Price])</f>
        <v>50</v>
      </c>
      <c r="G115" s="1">
        <f>Table1[[#This Row],[Units Sold]]*Table1[[#This Row],[Unit Price]]</f>
        <v>400</v>
      </c>
      <c r="H115" s="1" t="str" cm="1">
        <f t="array" ref="H115">_xlfn.IFS(Table1[[#This Row],[Total Revenue]]&gt;1000,"High",Table1[[#This Row],[Total Revenue]]&gt;=500,"Medium",Table1[[#This Row],[Total Revenue]]&lt;500,"Low")</f>
        <v>Low</v>
      </c>
      <c r="I115" s="1">
        <f>Table1[[#This Row],[Total Revenue]]*VLOOKUP(Table1[[#This Row],[Product ID]],Table2[],5,FALSE)</f>
        <v>40</v>
      </c>
      <c r="J115" s="1" t="str">
        <f>TEXT(Table1[[#This Row],[Date]],"mmmm")</f>
        <v>February</v>
      </c>
      <c r="K115" s="1"/>
    </row>
    <row r="116" spans="1:11" x14ac:dyDescent="0.3">
      <c r="A116" s="1">
        <v>1130</v>
      </c>
      <c r="B116" s="3">
        <v>45692</v>
      </c>
      <c r="C116" s="1" t="s">
        <v>7</v>
      </c>
      <c r="D116" s="1" t="s">
        <v>15</v>
      </c>
      <c r="E116" s="1">
        <v>7</v>
      </c>
      <c r="F116" s="8">
        <f>_xlfn.XLOOKUP(Table1[[#This Row],[Product ID]],Table2[Product ID],Table2[Unit Price])</f>
        <v>180</v>
      </c>
      <c r="G116" s="1">
        <f>Table1[[#This Row],[Units Sold]]*Table1[[#This Row],[Unit Price]]</f>
        <v>1260</v>
      </c>
      <c r="H116" s="1" t="str" cm="1">
        <f t="array" ref="H116">_xlfn.IFS(Table1[[#This Row],[Total Revenue]]&gt;1000,"High",Table1[[#This Row],[Total Revenue]]&gt;=500,"Medium",Table1[[#This Row],[Total Revenue]]&lt;500,"Low")</f>
        <v>High</v>
      </c>
      <c r="I116" s="1">
        <f>Table1[[#This Row],[Total Revenue]]*VLOOKUP(Table1[[#This Row],[Product ID]],Table2[],5,FALSE)</f>
        <v>226.79999999999998</v>
      </c>
      <c r="J116" s="1" t="str">
        <f>TEXT(Table1[[#This Row],[Date]],"mmmm")</f>
        <v>February</v>
      </c>
      <c r="K116" s="1"/>
    </row>
    <row r="117" spans="1:11" x14ac:dyDescent="0.3">
      <c r="A117" s="1">
        <v>1131</v>
      </c>
      <c r="B117" s="3">
        <v>45693</v>
      </c>
      <c r="C117" s="1" t="s">
        <v>9</v>
      </c>
      <c r="D117" s="1" t="s">
        <v>14</v>
      </c>
      <c r="E117" s="1">
        <v>5</v>
      </c>
      <c r="F117" s="8">
        <f>_xlfn.XLOOKUP(Table1[[#This Row],[Product ID]],Table2[Product ID],Table2[Unit Price])</f>
        <v>55</v>
      </c>
      <c r="G117" s="1">
        <f>Table1[[#This Row],[Units Sold]]*Table1[[#This Row],[Unit Price]]</f>
        <v>275</v>
      </c>
      <c r="H117" s="1" t="str" cm="1">
        <f t="array" ref="H117">_xlfn.IFS(Table1[[#This Row],[Total Revenue]]&gt;1000,"High",Table1[[#This Row],[Total Revenue]]&gt;=500,"Medium",Table1[[#This Row],[Total Revenue]]&lt;500,"Low")</f>
        <v>Low</v>
      </c>
      <c r="I117" s="1">
        <f>Table1[[#This Row],[Total Revenue]]*VLOOKUP(Table1[[#This Row],[Product ID]],Table2[],5,FALSE)</f>
        <v>27.5</v>
      </c>
      <c r="J117" s="1" t="str">
        <f>TEXT(Table1[[#This Row],[Date]],"mmmm")</f>
        <v>February</v>
      </c>
      <c r="K117" s="1"/>
    </row>
    <row r="118" spans="1:11" x14ac:dyDescent="0.3">
      <c r="A118" s="1">
        <v>1132</v>
      </c>
      <c r="B118" s="3">
        <v>45694</v>
      </c>
      <c r="C118" s="1" t="s">
        <v>11</v>
      </c>
      <c r="D118" s="1" t="s">
        <v>13</v>
      </c>
      <c r="E118" s="1">
        <v>4</v>
      </c>
      <c r="F118" s="8">
        <f>_xlfn.XLOOKUP(Table1[[#This Row],[Product ID]],Table2[Product ID],Table2[Unit Price])</f>
        <v>25</v>
      </c>
      <c r="G118" s="1">
        <f>Table1[[#This Row],[Units Sold]]*Table1[[#This Row],[Unit Price]]</f>
        <v>100</v>
      </c>
      <c r="H118" s="1" t="str" cm="1">
        <f t="array" ref="H118">_xlfn.IFS(Table1[[#This Row],[Total Revenue]]&gt;1000,"High",Table1[[#This Row],[Total Revenue]]&gt;=500,"Medium",Table1[[#This Row],[Total Revenue]]&lt;500,"Low")</f>
        <v>Low</v>
      </c>
      <c r="I118" s="1">
        <f>Table1[[#This Row],[Total Revenue]]*VLOOKUP(Table1[[#This Row],[Product ID]],Table2[],5,FALSE)</f>
        <v>8</v>
      </c>
      <c r="J118" s="1" t="str">
        <f>TEXT(Table1[[#This Row],[Date]],"mmmm")</f>
        <v>February</v>
      </c>
      <c r="K118" s="1"/>
    </row>
    <row r="119" spans="1:11" x14ac:dyDescent="0.3">
      <c r="A119" s="1">
        <v>1133</v>
      </c>
      <c r="B119" s="3">
        <v>45695</v>
      </c>
      <c r="C119" s="1" t="s">
        <v>5</v>
      </c>
      <c r="D119" s="1" t="s">
        <v>10</v>
      </c>
      <c r="E119" s="1">
        <v>12</v>
      </c>
      <c r="F119" s="8">
        <f>_xlfn.XLOOKUP(Table1[[#This Row],[Product ID]],Table2[Product ID],Table2[Unit Price])</f>
        <v>150</v>
      </c>
      <c r="G119" s="1">
        <f>Table1[[#This Row],[Units Sold]]*Table1[[#This Row],[Unit Price]]</f>
        <v>1800</v>
      </c>
      <c r="H119" s="1" t="str" cm="1">
        <f t="array" ref="H119">_xlfn.IFS(Table1[[#This Row],[Total Revenue]]&gt;1000,"High",Table1[[#This Row],[Total Revenue]]&gt;=500,"Medium",Table1[[#This Row],[Total Revenue]]&lt;500,"Low")</f>
        <v>High</v>
      </c>
      <c r="I119" s="1">
        <f>Table1[[#This Row],[Total Revenue]]*VLOOKUP(Table1[[#This Row],[Product ID]],Table2[],5,FALSE)</f>
        <v>270</v>
      </c>
      <c r="J119" s="1" t="str">
        <f>TEXT(Table1[[#This Row],[Date]],"mmmm")</f>
        <v>February</v>
      </c>
      <c r="K119" s="1"/>
    </row>
    <row r="120" spans="1:11" x14ac:dyDescent="0.3">
      <c r="A120" s="1">
        <v>1134</v>
      </c>
      <c r="B120" s="3">
        <v>45696</v>
      </c>
      <c r="C120" s="1" t="s">
        <v>7</v>
      </c>
      <c r="D120" s="1" t="s">
        <v>17</v>
      </c>
      <c r="E120" s="1">
        <v>3</v>
      </c>
      <c r="F120" s="8">
        <f>_xlfn.XLOOKUP(Table1[[#This Row],[Product ID]],Table2[Product ID],Table2[Unit Price])</f>
        <v>85</v>
      </c>
      <c r="G120" s="1">
        <f>Table1[[#This Row],[Units Sold]]*Table1[[#This Row],[Unit Price]]</f>
        <v>255</v>
      </c>
      <c r="H120" s="1" t="str" cm="1">
        <f t="array" ref="H120">_xlfn.IFS(Table1[[#This Row],[Total Revenue]]&gt;1000,"High",Table1[[#This Row],[Total Revenue]]&gt;=500,"Medium",Table1[[#This Row],[Total Revenue]]&lt;500,"Low")</f>
        <v>Low</v>
      </c>
      <c r="I120" s="1">
        <f>Table1[[#This Row],[Total Revenue]]*VLOOKUP(Table1[[#This Row],[Product ID]],Table2[],5,FALSE)</f>
        <v>30.599999999999998</v>
      </c>
      <c r="J120" s="1" t="str">
        <f>TEXT(Table1[[#This Row],[Date]],"mmmm")</f>
        <v>February</v>
      </c>
      <c r="K120" s="1"/>
    </row>
    <row r="121" spans="1:11" x14ac:dyDescent="0.3">
      <c r="A121" s="1">
        <v>1135</v>
      </c>
      <c r="B121" s="3">
        <v>45697</v>
      </c>
      <c r="C121" s="1" t="s">
        <v>9</v>
      </c>
      <c r="D121" s="1" t="s">
        <v>16</v>
      </c>
      <c r="E121" s="1">
        <v>6</v>
      </c>
      <c r="F121" s="8">
        <f>_xlfn.XLOOKUP(Table1[[#This Row],[Product ID]],Table2[Product ID],Table2[Unit Price])</f>
        <v>20</v>
      </c>
      <c r="G121" s="1">
        <f>Table1[[#This Row],[Units Sold]]*Table1[[#This Row],[Unit Price]]</f>
        <v>120</v>
      </c>
      <c r="H121" s="1" t="str" cm="1">
        <f t="array" ref="H121">_xlfn.IFS(Table1[[#This Row],[Total Revenue]]&gt;1000,"High",Table1[[#This Row],[Total Revenue]]&gt;=500,"Medium",Table1[[#This Row],[Total Revenue]]&lt;500,"Low")</f>
        <v>Low</v>
      </c>
      <c r="I121" s="1">
        <f>Table1[[#This Row],[Total Revenue]]*VLOOKUP(Table1[[#This Row],[Product ID]],Table2[],5,FALSE)</f>
        <v>9.6</v>
      </c>
      <c r="J121" s="1" t="str">
        <f>TEXT(Table1[[#This Row],[Date]],"mmmm")</f>
        <v>February</v>
      </c>
      <c r="K121" s="1"/>
    </row>
    <row r="122" spans="1:11" x14ac:dyDescent="0.3">
      <c r="A122" s="1">
        <v>1136</v>
      </c>
      <c r="B122" s="3">
        <v>45698</v>
      </c>
      <c r="C122" s="1" t="s">
        <v>11</v>
      </c>
      <c r="D122" s="1" t="s">
        <v>12</v>
      </c>
      <c r="E122" s="1">
        <v>7</v>
      </c>
      <c r="F122" s="8">
        <f>_xlfn.XLOOKUP(Table1[[#This Row],[Product ID]],Table2[Product ID],Table2[Unit Price])</f>
        <v>35</v>
      </c>
      <c r="G122" s="1">
        <f>Table1[[#This Row],[Units Sold]]*Table1[[#This Row],[Unit Price]]</f>
        <v>245</v>
      </c>
      <c r="H122" s="1" t="str" cm="1">
        <f t="array" ref="H122">_xlfn.IFS(Table1[[#This Row],[Total Revenue]]&gt;1000,"High",Table1[[#This Row],[Total Revenue]]&gt;=500,"Medium",Table1[[#This Row],[Total Revenue]]&lt;500,"Low")</f>
        <v>Low</v>
      </c>
      <c r="I122" s="1">
        <f>Table1[[#This Row],[Total Revenue]]*VLOOKUP(Table1[[#This Row],[Product ID]],Table2[],5,FALSE)</f>
        <v>24.5</v>
      </c>
      <c r="J122" s="1" t="str">
        <f>TEXT(Table1[[#This Row],[Date]],"mmmm")</f>
        <v>February</v>
      </c>
      <c r="K122" s="1"/>
    </row>
    <row r="123" spans="1:11" x14ac:dyDescent="0.3">
      <c r="A123" s="1">
        <v>1137</v>
      </c>
      <c r="B123" s="3">
        <v>45699</v>
      </c>
      <c r="C123" s="1" t="s">
        <v>5</v>
      </c>
      <c r="D123" s="1" t="s">
        <v>6</v>
      </c>
      <c r="E123" s="1">
        <v>9</v>
      </c>
      <c r="F123" s="8">
        <f>_xlfn.XLOOKUP(Table1[[#This Row],[Product ID]],Table2[Product ID],Table2[Unit Price])</f>
        <v>120</v>
      </c>
      <c r="G123" s="1">
        <f>Table1[[#This Row],[Units Sold]]*Table1[[#This Row],[Unit Price]]</f>
        <v>1080</v>
      </c>
      <c r="H123" s="1" t="str" cm="1">
        <f t="array" ref="H123">_xlfn.IFS(Table1[[#This Row],[Total Revenue]]&gt;1000,"High",Table1[[#This Row],[Total Revenue]]&gt;=500,"Medium",Table1[[#This Row],[Total Revenue]]&lt;500,"Low")</f>
        <v>High</v>
      </c>
      <c r="I123" s="1">
        <f>Table1[[#This Row],[Total Revenue]]*VLOOKUP(Table1[[#This Row],[Product ID]],Table2[],5,FALSE)</f>
        <v>162</v>
      </c>
      <c r="J123" s="1" t="str">
        <f>TEXT(Table1[[#This Row],[Date]],"mmmm")</f>
        <v>February</v>
      </c>
      <c r="K123" s="1"/>
    </row>
    <row r="124" spans="1:11" x14ac:dyDescent="0.3">
      <c r="A124" s="1">
        <v>1138</v>
      </c>
      <c r="B124" s="3">
        <v>45700</v>
      </c>
      <c r="C124" s="1" t="s">
        <v>7</v>
      </c>
      <c r="D124" s="1" t="s">
        <v>8</v>
      </c>
      <c r="E124" s="1">
        <v>6</v>
      </c>
      <c r="F124" s="8">
        <f>_xlfn.XLOOKUP(Table1[[#This Row],[Product ID]],Table2[Product ID],Table2[Unit Price])</f>
        <v>50</v>
      </c>
      <c r="G124" s="1">
        <f>Table1[[#This Row],[Units Sold]]*Table1[[#This Row],[Unit Price]]</f>
        <v>300</v>
      </c>
      <c r="H124" s="1" t="str" cm="1">
        <f t="array" ref="H124">_xlfn.IFS(Table1[[#This Row],[Total Revenue]]&gt;1000,"High",Table1[[#This Row],[Total Revenue]]&gt;=500,"Medium",Table1[[#This Row],[Total Revenue]]&lt;500,"Low")</f>
        <v>Low</v>
      </c>
      <c r="I124" s="1">
        <f>Table1[[#This Row],[Total Revenue]]*VLOOKUP(Table1[[#This Row],[Product ID]],Table2[],5,FALSE)</f>
        <v>30</v>
      </c>
      <c r="J124" s="1" t="str">
        <f>TEXT(Table1[[#This Row],[Date]],"mmmm")</f>
        <v>February</v>
      </c>
      <c r="K124" s="1"/>
    </row>
    <row r="125" spans="1:11" x14ac:dyDescent="0.3">
      <c r="A125" s="1">
        <v>1139</v>
      </c>
      <c r="B125" s="3">
        <v>45701</v>
      </c>
      <c r="C125" s="1" t="s">
        <v>9</v>
      </c>
      <c r="D125" s="1" t="s">
        <v>15</v>
      </c>
      <c r="E125" s="1">
        <v>11</v>
      </c>
      <c r="F125" s="8">
        <f>_xlfn.XLOOKUP(Table1[[#This Row],[Product ID]],Table2[Product ID],Table2[Unit Price])</f>
        <v>180</v>
      </c>
      <c r="G125" s="1">
        <f>Table1[[#This Row],[Units Sold]]*Table1[[#This Row],[Unit Price]]</f>
        <v>1980</v>
      </c>
      <c r="H125" s="1" t="str" cm="1">
        <f t="array" ref="H125">_xlfn.IFS(Table1[[#This Row],[Total Revenue]]&gt;1000,"High",Table1[[#This Row],[Total Revenue]]&gt;=500,"Medium",Table1[[#This Row],[Total Revenue]]&lt;500,"Low")</f>
        <v>High</v>
      </c>
      <c r="I125" s="1">
        <f>Table1[[#This Row],[Total Revenue]]*VLOOKUP(Table1[[#This Row],[Product ID]],Table2[],5,FALSE)</f>
        <v>356.4</v>
      </c>
      <c r="J125" s="1" t="str">
        <f>TEXT(Table1[[#This Row],[Date]],"mmmm")</f>
        <v>February</v>
      </c>
      <c r="K125" s="1"/>
    </row>
    <row r="126" spans="1:11" x14ac:dyDescent="0.3">
      <c r="A126" s="1">
        <v>1140</v>
      </c>
      <c r="B126" s="3">
        <v>45702</v>
      </c>
      <c r="C126" s="1" t="s">
        <v>11</v>
      </c>
      <c r="D126" s="1" t="s">
        <v>14</v>
      </c>
      <c r="E126" s="1">
        <v>4</v>
      </c>
      <c r="F126" s="8">
        <f>_xlfn.XLOOKUP(Table1[[#This Row],[Product ID]],Table2[Product ID],Table2[Unit Price])</f>
        <v>55</v>
      </c>
      <c r="G126" s="1">
        <f>Table1[[#This Row],[Units Sold]]*Table1[[#This Row],[Unit Price]]</f>
        <v>220</v>
      </c>
      <c r="H126" s="1" t="str" cm="1">
        <f t="array" ref="H126">_xlfn.IFS(Table1[[#This Row],[Total Revenue]]&gt;1000,"High",Table1[[#This Row],[Total Revenue]]&gt;=500,"Medium",Table1[[#This Row],[Total Revenue]]&lt;500,"Low")</f>
        <v>Low</v>
      </c>
      <c r="I126" s="1">
        <f>Table1[[#This Row],[Total Revenue]]*VLOOKUP(Table1[[#This Row],[Product ID]],Table2[],5,FALSE)</f>
        <v>22</v>
      </c>
      <c r="J126" s="1" t="str">
        <f>TEXT(Table1[[#This Row],[Date]],"mmmm")</f>
        <v>February</v>
      </c>
      <c r="K126" s="1"/>
    </row>
    <row r="127" spans="1:11" x14ac:dyDescent="0.3">
      <c r="A127" s="1">
        <v>1141</v>
      </c>
      <c r="B127" s="3">
        <v>45703</v>
      </c>
      <c r="C127" s="1" t="s">
        <v>5</v>
      </c>
      <c r="D127" s="1" t="s">
        <v>13</v>
      </c>
      <c r="E127" s="1">
        <v>3</v>
      </c>
      <c r="F127" s="8">
        <f>_xlfn.XLOOKUP(Table1[[#This Row],[Product ID]],Table2[Product ID],Table2[Unit Price])</f>
        <v>25</v>
      </c>
      <c r="G127" s="1">
        <f>Table1[[#This Row],[Units Sold]]*Table1[[#This Row],[Unit Price]]</f>
        <v>75</v>
      </c>
      <c r="H127" s="1" t="str" cm="1">
        <f t="array" ref="H127">_xlfn.IFS(Table1[[#This Row],[Total Revenue]]&gt;1000,"High",Table1[[#This Row],[Total Revenue]]&gt;=500,"Medium",Table1[[#This Row],[Total Revenue]]&lt;500,"Low")</f>
        <v>Low</v>
      </c>
      <c r="I127" s="1">
        <f>Table1[[#This Row],[Total Revenue]]*VLOOKUP(Table1[[#This Row],[Product ID]],Table2[],5,FALSE)</f>
        <v>6</v>
      </c>
      <c r="J127" s="1" t="str">
        <f>TEXT(Table1[[#This Row],[Date]],"mmmm")</f>
        <v>February</v>
      </c>
      <c r="K127" s="1"/>
    </row>
    <row r="128" spans="1:11" x14ac:dyDescent="0.3">
      <c r="A128" s="1">
        <v>1142</v>
      </c>
      <c r="B128" s="3">
        <v>45704</v>
      </c>
      <c r="C128" s="1" t="s">
        <v>7</v>
      </c>
      <c r="D128" s="1" t="s">
        <v>10</v>
      </c>
      <c r="E128" s="1">
        <v>14</v>
      </c>
      <c r="F128" s="8">
        <f>_xlfn.XLOOKUP(Table1[[#This Row],[Product ID]],Table2[Product ID],Table2[Unit Price])</f>
        <v>150</v>
      </c>
      <c r="G128" s="1">
        <f>Table1[[#This Row],[Units Sold]]*Table1[[#This Row],[Unit Price]]</f>
        <v>2100</v>
      </c>
      <c r="H128" s="1" t="str" cm="1">
        <f t="array" ref="H128">_xlfn.IFS(Table1[[#This Row],[Total Revenue]]&gt;1000,"High",Table1[[#This Row],[Total Revenue]]&gt;=500,"Medium",Table1[[#This Row],[Total Revenue]]&lt;500,"Low")</f>
        <v>High</v>
      </c>
      <c r="I128" s="1">
        <f>Table1[[#This Row],[Total Revenue]]*VLOOKUP(Table1[[#This Row],[Product ID]],Table2[],5,FALSE)</f>
        <v>315</v>
      </c>
      <c r="J128" s="1" t="str">
        <f>TEXT(Table1[[#This Row],[Date]],"mmmm")</f>
        <v>February</v>
      </c>
      <c r="K128" s="1"/>
    </row>
    <row r="129" spans="1:11" x14ac:dyDescent="0.3">
      <c r="A129" s="1">
        <v>1143</v>
      </c>
      <c r="B129" s="3">
        <v>45705</v>
      </c>
      <c r="C129" s="1" t="s">
        <v>9</v>
      </c>
      <c r="D129" s="1" t="s">
        <v>17</v>
      </c>
      <c r="E129" s="1">
        <v>5</v>
      </c>
      <c r="F129" s="8">
        <f>_xlfn.XLOOKUP(Table1[[#This Row],[Product ID]],Table2[Product ID],Table2[Unit Price])</f>
        <v>85</v>
      </c>
      <c r="G129" s="1">
        <f>Table1[[#This Row],[Units Sold]]*Table1[[#This Row],[Unit Price]]</f>
        <v>425</v>
      </c>
      <c r="H129" s="1" t="str" cm="1">
        <f t="array" ref="H129">_xlfn.IFS(Table1[[#This Row],[Total Revenue]]&gt;1000,"High",Table1[[#This Row],[Total Revenue]]&gt;=500,"Medium",Table1[[#This Row],[Total Revenue]]&lt;500,"Low")</f>
        <v>Low</v>
      </c>
      <c r="I129" s="1">
        <f>Table1[[#This Row],[Total Revenue]]*VLOOKUP(Table1[[#This Row],[Product ID]],Table2[],5,FALSE)</f>
        <v>51</v>
      </c>
      <c r="J129" s="1" t="str">
        <f>TEXT(Table1[[#This Row],[Date]],"mmmm")</f>
        <v>February</v>
      </c>
      <c r="K129" s="1"/>
    </row>
    <row r="130" spans="1:11" x14ac:dyDescent="0.3">
      <c r="A130" s="1">
        <v>1144</v>
      </c>
      <c r="B130" s="3">
        <v>45706</v>
      </c>
      <c r="C130" s="1" t="s">
        <v>11</v>
      </c>
      <c r="D130" s="1" t="s">
        <v>16</v>
      </c>
      <c r="E130" s="1">
        <v>2</v>
      </c>
      <c r="F130" s="8">
        <f>_xlfn.XLOOKUP(Table1[[#This Row],[Product ID]],Table2[Product ID],Table2[Unit Price])</f>
        <v>20</v>
      </c>
      <c r="G130" s="1">
        <f>Table1[[#This Row],[Units Sold]]*Table1[[#This Row],[Unit Price]]</f>
        <v>40</v>
      </c>
      <c r="H130" s="1" t="str" cm="1">
        <f t="array" ref="H130">_xlfn.IFS(Table1[[#This Row],[Total Revenue]]&gt;1000,"High",Table1[[#This Row],[Total Revenue]]&gt;=500,"Medium",Table1[[#This Row],[Total Revenue]]&lt;500,"Low")</f>
        <v>Low</v>
      </c>
      <c r="I130" s="1">
        <f>Table1[[#This Row],[Total Revenue]]*VLOOKUP(Table1[[#This Row],[Product ID]],Table2[],5,FALSE)</f>
        <v>3.2</v>
      </c>
      <c r="J130" s="1" t="str">
        <f>TEXT(Table1[[#This Row],[Date]],"mmmm")</f>
        <v>February</v>
      </c>
      <c r="K130" s="1"/>
    </row>
    <row r="131" spans="1:11" x14ac:dyDescent="0.3">
      <c r="A131" s="1">
        <v>1145</v>
      </c>
      <c r="B131" s="3">
        <v>45707</v>
      </c>
      <c r="C131" s="1" t="s">
        <v>5</v>
      </c>
      <c r="D131" s="1" t="s">
        <v>12</v>
      </c>
      <c r="E131" s="1">
        <v>8</v>
      </c>
      <c r="F131" s="8">
        <f>_xlfn.XLOOKUP(Table1[[#This Row],[Product ID]],Table2[Product ID],Table2[Unit Price])</f>
        <v>35</v>
      </c>
      <c r="G131" s="1">
        <f>Table1[[#This Row],[Units Sold]]*Table1[[#This Row],[Unit Price]]</f>
        <v>280</v>
      </c>
      <c r="H131" s="1" t="str" cm="1">
        <f t="array" ref="H131">_xlfn.IFS(Table1[[#This Row],[Total Revenue]]&gt;1000,"High",Table1[[#This Row],[Total Revenue]]&gt;=500,"Medium",Table1[[#This Row],[Total Revenue]]&lt;500,"Low")</f>
        <v>Low</v>
      </c>
      <c r="I131" s="1">
        <f>Table1[[#This Row],[Total Revenue]]*VLOOKUP(Table1[[#This Row],[Product ID]],Table2[],5,FALSE)</f>
        <v>28</v>
      </c>
      <c r="J131" s="1" t="str">
        <f>TEXT(Table1[[#This Row],[Date]],"mmmm")</f>
        <v>February</v>
      </c>
      <c r="K131" s="1"/>
    </row>
    <row r="132" spans="1:11" x14ac:dyDescent="0.3">
      <c r="A132" s="1">
        <v>1146</v>
      </c>
      <c r="B132" s="3">
        <v>45708</v>
      </c>
      <c r="C132" s="1" t="s">
        <v>7</v>
      </c>
      <c r="D132" s="1" t="s">
        <v>6</v>
      </c>
      <c r="E132" s="1">
        <v>15</v>
      </c>
      <c r="F132" s="8">
        <f>_xlfn.XLOOKUP(Table1[[#This Row],[Product ID]],Table2[Product ID],Table2[Unit Price])</f>
        <v>120</v>
      </c>
      <c r="G132" s="1">
        <f>Table1[[#This Row],[Units Sold]]*Table1[[#This Row],[Unit Price]]</f>
        <v>1800</v>
      </c>
      <c r="H132" s="1" t="str" cm="1">
        <f t="array" ref="H132">_xlfn.IFS(Table1[[#This Row],[Total Revenue]]&gt;1000,"High",Table1[[#This Row],[Total Revenue]]&gt;=500,"Medium",Table1[[#This Row],[Total Revenue]]&lt;500,"Low")</f>
        <v>High</v>
      </c>
      <c r="I132" s="1">
        <f>Table1[[#This Row],[Total Revenue]]*VLOOKUP(Table1[[#This Row],[Product ID]],Table2[],5,FALSE)</f>
        <v>270</v>
      </c>
      <c r="J132" s="1" t="str">
        <f>TEXT(Table1[[#This Row],[Date]],"mmmm")</f>
        <v>February</v>
      </c>
      <c r="K132" s="1"/>
    </row>
    <row r="133" spans="1:11" x14ac:dyDescent="0.3">
      <c r="A133" s="1">
        <v>1147</v>
      </c>
      <c r="B133" s="3">
        <v>45709</v>
      </c>
      <c r="C133" s="1" t="s">
        <v>9</v>
      </c>
      <c r="D133" s="1" t="s">
        <v>8</v>
      </c>
      <c r="E133" s="1">
        <v>9</v>
      </c>
      <c r="F133" s="8">
        <f>_xlfn.XLOOKUP(Table1[[#This Row],[Product ID]],Table2[Product ID],Table2[Unit Price])</f>
        <v>50</v>
      </c>
      <c r="G133" s="1">
        <f>Table1[[#This Row],[Units Sold]]*Table1[[#This Row],[Unit Price]]</f>
        <v>450</v>
      </c>
      <c r="H133" s="1" t="str" cm="1">
        <f t="array" ref="H133">_xlfn.IFS(Table1[[#This Row],[Total Revenue]]&gt;1000,"High",Table1[[#This Row],[Total Revenue]]&gt;=500,"Medium",Table1[[#This Row],[Total Revenue]]&lt;500,"Low")</f>
        <v>Low</v>
      </c>
      <c r="I133" s="1">
        <f>Table1[[#This Row],[Total Revenue]]*VLOOKUP(Table1[[#This Row],[Product ID]],Table2[],5,FALSE)</f>
        <v>45</v>
      </c>
      <c r="J133" s="1" t="str">
        <f>TEXT(Table1[[#This Row],[Date]],"mmmm")</f>
        <v>February</v>
      </c>
      <c r="K133" s="1"/>
    </row>
    <row r="134" spans="1:11" x14ac:dyDescent="0.3">
      <c r="A134" s="1">
        <v>1148</v>
      </c>
      <c r="B134" s="3">
        <v>45710</v>
      </c>
      <c r="C134" s="1" t="s">
        <v>11</v>
      </c>
      <c r="D134" s="1" t="s">
        <v>15</v>
      </c>
      <c r="E134" s="1">
        <v>7</v>
      </c>
      <c r="F134" s="8">
        <f>_xlfn.XLOOKUP(Table1[[#This Row],[Product ID]],Table2[Product ID],Table2[Unit Price])</f>
        <v>180</v>
      </c>
      <c r="G134" s="1">
        <f>Table1[[#This Row],[Units Sold]]*Table1[[#This Row],[Unit Price]]</f>
        <v>1260</v>
      </c>
      <c r="H134" s="1" t="str" cm="1">
        <f t="array" ref="H134">_xlfn.IFS(Table1[[#This Row],[Total Revenue]]&gt;1000,"High",Table1[[#This Row],[Total Revenue]]&gt;=500,"Medium",Table1[[#This Row],[Total Revenue]]&lt;500,"Low")</f>
        <v>High</v>
      </c>
      <c r="I134" s="1">
        <f>Table1[[#This Row],[Total Revenue]]*VLOOKUP(Table1[[#This Row],[Product ID]],Table2[],5,FALSE)</f>
        <v>226.79999999999998</v>
      </c>
      <c r="J134" s="1" t="str">
        <f>TEXT(Table1[[#This Row],[Date]],"mmmm")</f>
        <v>February</v>
      </c>
      <c r="K134" s="1"/>
    </row>
    <row r="135" spans="1:11" x14ac:dyDescent="0.3">
      <c r="A135" s="1">
        <v>1149</v>
      </c>
      <c r="B135" s="3">
        <v>45711</v>
      </c>
      <c r="C135" s="1" t="s">
        <v>5</v>
      </c>
      <c r="D135" s="1" t="s">
        <v>14</v>
      </c>
      <c r="E135" s="1">
        <v>10</v>
      </c>
      <c r="F135" s="8">
        <f>_xlfn.XLOOKUP(Table1[[#This Row],[Product ID]],Table2[Product ID],Table2[Unit Price])</f>
        <v>55</v>
      </c>
      <c r="G135" s="1">
        <f>Table1[[#This Row],[Units Sold]]*Table1[[#This Row],[Unit Price]]</f>
        <v>550</v>
      </c>
      <c r="H135" s="1" t="str" cm="1">
        <f t="array" ref="H135">_xlfn.IFS(Table1[[#This Row],[Total Revenue]]&gt;1000,"High",Table1[[#This Row],[Total Revenue]]&gt;=500,"Medium",Table1[[#This Row],[Total Revenue]]&lt;500,"Low")</f>
        <v>Medium</v>
      </c>
      <c r="I135" s="1">
        <f>Table1[[#This Row],[Total Revenue]]*VLOOKUP(Table1[[#This Row],[Product ID]],Table2[],5,FALSE)</f>
        <v>55</v>
      </c>
      <c r="J135" s="1" t="str">
        <f>TEXT(Table1[[#This Row],[Date]],"mmmm")</f>
        <v>February</v>
      </c>
      <c r="K135" s="1"/>
    </row>
    <row r="136" spans="1:11" x14ac:dyDescent="0.3">
      <c r="A136" s="1">
        <v>1150</v>
      </c>
      <c r="B136" s="3">
        <v>45712</v>
      </c>
      <c r="C136" s="1" t="s">
        <v>7</v>
      </c>
      <c r="D136" s="1" t="s">
        <v>13</v>
      </c>
      <c r="E136" s="1">
        <v>5</v>
      </c>
      <c r="F136" s="8">
        <f>_xlfn.XLOOKUP(Table1[[#This Row],[Product ID]],Table2[Product ID],Table2[Unit Price])</f>
        <v>25</v>
      </c>
      <c r="G136" s="1">
        <f>Table1[[#This Row],[Units Sold]]*Table1[[#This Row],[Unit Price]]</f>
        <v>125</v>
      </c>
      <c r="H136" s="1" t="str" cm="1">
        <f t="array" ref="H136">_xlfn.IFS(Table1[[#This Row],[Total Revenue]]&gt;1000,"High",Table1[[#This Row],[Total Revenue]]&gt;=500,"Medium",Table1[[#This Row],[Total Revenue]]&lt;500,"Low")</f>
        <v>Low</v>
      </c>
      <c r="I136" s="1">
        <f>Table1[[#This Row],[Total Revenue]]*VLOOKUP(Table1[[#This Row],[Product ID]],Table2[],5,FALSE)</f>
        <v>10</v>
      </c>
      <c r="J136" s="1" t="str">
        <f>TEXT(Table1[[#This Row],[Date]],"mmmm")</f>
        <v>February</v>
      </c>
      <c r="K136" s="1"/>
    </row>
    <row r="137" spans="1:11" x14ac:dyDescent="0.3">
      <c r="A137" s="1">
        <v>1151</v>
      </c>
      <c r="B137" s="3">
        <v>45713</v>
      </c>
      <c r="C137" s="1" t="s">
        <v>9</v>
      </c>
      <c r="D137" s="1" t="s">
        <v>10</v>
      </c>
      <c r="E137" s="1">
        <v>11</v>
      </c>
      <c r="F137" s="8">
        <f>_xlfn.XLOOKUP(Table1[[#This Row],[Product ID]],Table2[Product ID],Table2[Unit Price])</f>
        <v>150</v>
      </c>
      <c r="G137" s="1">
        <f>Table1[[#This Row],[Units Sold]]*Table1[[#This Row],[Unit Price]]</f>
        <v>1650</v>
      </c>
      <c r="H137" s="1" t="str" cm="1">
        <f t="array" ref="H137">_xlfn.IFS(Table1[[#This Row],[Total Revenue]]&gt;1000,"High",Table1[[#This Row],[Total Revenue]]&gt;=500,"Medium",Table1[[#This Row],[Total Revenue]]&lt;500,"Low")</f>
        <v>High</v>
      </c>
      <c r="I137" s="1">
        <f>Table1[[#This Row],[Total Revenue]]*VLOOKUP(Table1[[#This Row],[Product ID]],Table2[],5,FALSE)</f>
        <v>247.5</v>
      </c>
      <c r="J137" s="1" t="str">
        <f>TEXT(Table1[[#This Row],[Date]],"mmmm")</f>
        <v>February</v>
      </c>
      <c r="K137" s="1"/>
    </row>
    <row r="138" spans="1:11" x14ac:dyDescent="0.3">
      <c r="A138" s="1">
        <v>1152</v>
      </c>
      <c r="B138" s="3">
        <v>45714</v>
      </c>
      <c r="C138" s="1" t="s">
        <v>11</v>
      </c>
      <c r="D138" s="1" t="s">
        <v>17</v>
      </c>
      <c r="E138" s="1">
        <v>8</v>
      </c>
      <c r="F138" s="8">
        <f>_xlfn.XLOOKUP(Table1[[#This Row],[Product ID]],Table2[Product ID],Table2[Unit Price])</f>
        <v>85</v>
      </c>
      <c r="G138" s="1">
        <f>Table1[[#This Row],[Units Sold]]*Table1[[#This Row],[Unit Price]]</f>
        <v>680</v>
      </c>
      <c r="H138" s="1" t="str" cm="1">
        <f t="array" ref="H138">_xlfn.IFS(Table1[[#This Row],[Total Revenue]]&gt;1000,"High",Table1[[#This Row],[Total Revenue]]&gt;=500,"Medium",Table1[[#This Row],[Total Revenue]]&lt;500,"Low")</f>
        <v>Medium</v>
      </c>
      <c r="I138" s="1">
        <f>Table1[[#This Row],[Total Revenue]]*VLOOKUP(Table1[[#This Row],[Product ID]],Table2[],5,FALSE)</f>
        <v>81.599999999999994</v>
      </c>
      <c r="J138" s="1" t="str">
        <f>TEXT(Table1[[#This Row],[Date]],"mmmm")</f>
        <v>February</v>
      </c>
      <c r="K138" s="1"/>
    </row>
    <row r="139" spans="1:11" x14ac:dyDescent="0.3">
      <c r="A139" s="1">
        <v>1153</v>
      </c>
      <c r="B139" s="3">
        <v>45715</v>
      </c>
      <c r="C139" s="1" t="s">
        <v>5</v>
      </c>
      <c r="D139" s="1" t="s">
        <v>16</v>
      </c>
      <c r="E139" s="1">
        <v>3</v>
      </c>
      <c r="F139" s="8">
        <f>_xlfn.XLOOKUP(Table1[[#This Row],[Product ID]],Table2[Product ID],Table2[Unit Price])</f>
        <v>20</v>
      </c>
      <c r="G139" s="1">
        <f>Table1[[#This Row],[Units Sold]]*Table1[[#This Row],[Unit Price]]</f>
        <v>60</v>
      </c>
      <c r="H139" s="1" t="str" cm="1">
        <f t="array" ref="H139">_xlfn.IFS(Table1[[#This Row],[Total Revenue]]&gt;1000,"High",Table1[[#This Row],[Total Revenue]]&gt;=500,"Medium",Table1[[#This Row],[Total Revenue]]&lt;500,"Low")</f>
        <v>Low</v>
      </c>
      <c r="I139" s="1">
        <f>Table1[[#This Row],[Total Revenue]]*VLOOKUP(Table1[[#This Row],[Product ID]],Table2[],5,FALSE)</f>
        <v>4.8</v>
      </c>
      <c r="J139" s="1" t="str">
        <f>TEXT(Table1[[#This Row],[Date]],"mmmm")</f>
        <v>February</v>
      </c>
      <c r="K139" s="1"/>
    </row>
    <row r="140" spans="1:11" x14ac:dyDescent="0.3">
      <c r="A140" s="1">
        <v>1154</v>
      </c>
      <c r="B140" s="3">
        <v>45716</v>
      </c>
      <c r="C140" s="1" t="s">
        <v>7</v>
      </c>
      <c r="D140" s="1" t="s">
        <v>6</v>
      </c>
      <c r="E140" s="1">
        <v>6</v>
      </c>
      <c r="F140" s="8">
        <f>_xlfn.XLOOKUP(Table1[[#This Row],[Product ID]],Table2[Product ID],Table2[Unit Price])</f>
        <v>120</v>
      </c>
      <c r="G140" s="1">
        <f>Table1[[#This Row],[Units Sold]]*Table1[[#This Row],[Unit Price]]</f>
        <v>720</v>
      </c>
      <c r="H140" s="1" t="str" cm="1">
        <f t="array" ref="H140">_xlfn.IFS(Table1[[#This Row],[Total Revenue]]&gt;1000,"High",Table1[[#This Row],[Total Revenue]]&gt;=500,"Medium",Table1[[#This Row],[Total Revenue]]&lt;500,"Low")</f>
        <v>Medium</v>
      </c>
      <c r="I140" s="1">
        <f>Table1[[#This Row],[Total Revenue]]*VLOOKUP(Table1[[#This Row],[Product ID]],Table2[],5,FALSE)</f>
        <v>108</v>
      </c>
      <c r="J140" s="1" t="str">
        <f>TEXT(Table1[[#This Row],[Date]],"mmmm")</f>
        <v>February</v>
      </c>
      <c r="K140" s="1"/>
    </row>
    <row r="141" spans="1:11" x14ac:dyDescent="0.3">
      <c r="A141" s="1">
        <v>1155</v>
      </c>
      <c r="B141" s="3">
        <v>45717</v>
      </c>
      <c r="C141" s="1" t="s">
        <v>9</v>
      </c>
      <c r="D141" s="1" t="s">
        <v>12</v>
      </c>
      <c r="E141" s="1">
        <v>5</v>
      </c>
      <c r="F141" s="8">
        <f>_xlfn.XLOOKUP(Table1[[#This Row],[Product ID]],Table2[Product ID],Table2[Unit Price])</f>
        <v>35</v>
      </c>
      <c r="G141" s="1">
        <f>Table1[[#This Row],[Units Sold]]*Table1[[#This Row],[Unit Price]]</f>
        <v>175</v>
      </c>
      <c r="H141" s="1" t="str" cm="1">
        <f t="array" ref="H141">_xlfn.IFS(Table1[[#This Row],[Total Revenue]]&gt;1000,"High",Table1[[#This Row],[Total Revenue]]&gt;=500,"Medium",Table1[[#This Row],[Total Revenue]]&lt;500,"Low")</f>
        <v>Low</v>
      </c>
      <c r="I141" s="1">
        <f>Table1[[#This Row],[Total Revenue]]*VLOOKUP(Table1[[#This Row],[Product ID]],Table2[],5,FALSE)</f>
        <v>17.5</v>
      </c>
      <c r="J141" s="1" t="str">
        <f>TEXT(Table1[[#This Row],[Date]],"mmmm")</f>
        <v>March</v>
      </c>
      <c r="K141" s="1"/>
    </row>
    <row r="142" spans="1:11" x14ac:dyDescent="0.3">
      <c r="A142" s="1">
        <v>1156</v>
      </c>
      <c r="B142" s="3">
        <v>45718</v>
      </c>
      <c r="C142" s="1" t="s">
        <v>11</v>
      </c>
      <c r="D142" s="1" t="s">
        <v>8</v>
      </c>
      <c r="E142" s="1">
        <v>4</v>
      </c>
      <c r="F142" s="8">
        <f>_xlfn.XLOOKUP(Table1[[#This Row],[Product ID]],Table2[Product ID],Table2[Unit Price])</f>
        <v>50</v>
      </c>
      <c r="G142" s="1">
        <f>Table1[[#This Row],[Units Sold]]*Table1[[#This Row],[Unit Price]]</f>
        <v>200</v>
      </c>
      <c r="H142" s="1" t="str" cm="1">
        <f t="array" ref="H142">_xlfn.IFS(Table1[[#This Row],[Total Revenue]]&gt;1000,"High",Table1[[#This Row],[Total Revenue]]&gt;=500,"Medium",Table1[[#This Row],[Total Revenue]]&lt;500,"Low")</f>
        <v>Low</v>
      </c>
      <c r="I142" s="1">
        <f>Table1[[#This Row],[Total Revenue]]*VLOOKUP(Table1[[#This Row],[Product ID]],Table2[],5,FALSE)</f>
        <v>20</v>
      </c>
      <c r="J142" s="1" t="str">
        <f>TEXT(Table1[[#This Row],[Date]],"mmmm")</f>
        <v>March</v>
      </c>
      <c r="K142" s="1"/>
    </row>
    <row r="143" spans="1:11" x14ac:dyDescent="0.3">
      <c r="A143" s="1">
        <v>1157</v>
      </c>
      <c r="B143" s="3">
        <v>45719</v>
      </c>
      <c r="C143" s="1" t="s">
        <v>5</v>
      </c>
      <c r="D143" s="1" t="s">
        <v>15</v>
      </c>
      <c r="E143" s="1">
        <v>9</v>
      </c>
      <c r="F143" s="8">
        <f>_xlfn.XLOOKUP(Table1[[#This Row],[Product ID]],Table2[Product ID],Table2[Unit Price])</f>
        <v>180</v>
      </c>
      <c r="G143" s="1">
        <f>Table1[[#This Row],[Units Sold]]*Table1[[#This Row],[Unit Price]]</f>
        <v>1620</v>
      </c>
      <c r="H143" s="1" t="str" cm="1">
        <f t="array" ref="H143">_xlfn.IFS(Table1[[#This Row],[Total Revenue]]&gt;1000,"High",Table1[[#This Row],[Total Revenue]]&gt;=500,"Medium",Table1[[#This Row],[Total Revenue]]&lt;500,"Low")</f>
        <v>High</v>
      </c>
      <c r="I143" s="1">
        <f>Table1[[#This Row],[Total Revenue]]*VLOOKUP(Table1[[#This Row],[Product ID]],Table2[],5,FALSE)</f>
        <v>291.59999999999997</v>
      </c>
      <c r="J143" s="1" t="str">
        <f>TEXT(Table1[[#This Row],[Date]],"mmmm")</f>
        <v>March</v>
      </c>
      <c r="K143" s="1"/>
    </row>
    <row r="144" spans="1:11" x14ac:dyDescent="0.3">
      <c r="A144" s="1">
        <v>1158</v>
      </c>
      <c r="B144" s="3">
        <v>45720</v>
      </c>
      <c r="C144" s="1" t="s">
        <v>7</v>
      </c>
      <c r="D144" s="1" t="s">
        <v>14</v>
      </c>
      <c r="E144" s="1">
        <v>7</v>
      </c>
      <c r="F144" s="8">
        <f>_xlfn.XLOOKUP(Table1[[#This Row],[Product ID]],Table2[Product ID],Table2[Unit Price])</f>
        <v>55</v>
      </c>
      <c r="G144" s="1">
        <f>Table1[[#This Row],[Units Sold]]*Table1[[#This Row],[Unit Price]]</f>
        <v>385</v>
      </c>
      <c r="H144" s="1" t="str" cm="1">
        <f t="array" ref="H144">_xlfn.IFS(Table1[[#This Row],[Total Revenue]]&gt;1000,"High",Table1[[#This Row],[Total Revenue]]&gt;=500,"Medium",Table1[[#This Row],[Total Revenue]]&lt;500,"Low")</f>
        <v>Low</v>
      </c>
      <c r="I144" s="1">
        <f>Table1[[#This Row],[Total Revenue]]*VLOOKUP(Table1[[#This Row],[Product ID]],Table2[],5,FALSE)</f>
        <v>38.5</v>
      </c>
      <c r="J144" s="1" t="str">
        <f>TEXT(Table1[[#This Row],[Date]],"mmmm")</f>
        <v>March</v>
      </c>
      <c r="K144" s="1"/>
    </row>
    <row r="145" spans="1:11" x14ac:dyDescent="0.3">
      <c r="A145" s="1">
        <v>1159</v>
      </c>
      <c r="B145" s="3">
        <v>45721</v>
      </c>
      <c r="C145" s="1" t="s">
        <v>9</v>
      </c>
      <c r="D145" s="1" t="s">
        <v>13</v>
      </c>
      <c r="E145" s="1">
        <v>12</v>
      </c>
      <c r="F145" s="8">
        <f>_xlfn.XLOOKUP(Table1[[#This Row],[Product ID]],Table2[Product ID],Table2[Unit Price])</f>
        <v>25</v>
      </c>
      <c r="G145" s="1">
        <f>Table1[[#This Row],[Units Sold]]*Table1[[#This Row],[Unit Price]]</f>
        <v>300</v>
      </c>
      <c r="H145" s="1" t="str" cm="1">
        <f t="array" ref="H145">_xlfn.IFS(Table1[[#This Row],[Total Revenue]]&gt;1000,"High",Table1[[#This Row],[Total Revenue]]&gt;=500,"Medium",Table1[[#This Row],[Total Revenue]]&lt;500,"Low")</f>
        <v>Low</v>
      </c>
      <c r="I145" s="1">
        <f>Table1[[#This Row],[Total Revenue]]*VLOOKUP(Table1[[#This Row],[Product ID]],Table2[],5,FALSE)</f>
        <v>24</v>
      </c>
      <c r="J145" s="1" t="str">
        <f>TEXT(Table1[[#This Row],[Date]],"mmmm")</f>
        <v>March</v>
      </c>
      <c r="K145" s="1"/>
    </row>
    <row r="146" spans="1:11" x14ac:dyDescent="0.3">
      <c r="A146" s="1">
        <v>1160</v>
      </c>
      <c r="B146" s="3">
        <v>45722</v>
      </c>
      <c r="C146" s="1" t="s">
        <v>11</v>
      </c>
      <c r="D146" s="1" t="s">
        <v>10</v>
      </c>
      <c r="E146" s="1">
        <v>8</v>
      </c>
      <c r="F146" s="8">
        <f>_xlfn.XLOOKUP(Table1[[#This Row],[Product ID]],Table2[Product ID],Table2[Unit Price])</f>
        <v>150</v>
      </c>
      <c r="G146" s="1">
        <f>Table1[[#This Row],[Units Sold]]*Table1[[#This Row],[Unit Price]]</f>
        <v>1200</v>
      </c>
      <c r="H146" s="1" t="str" cm="1">
        <f t="array" ref="H146">_xlfn.IFS(Table1[[#This Row],[Total Revenue]]&gt;1000,"High",Table1[[#This Row],[Total Revenue]]&gt;=500,"Medium",Table1[[#This Row],[Total Revenue]]&lt;500,"Low")</f>
        <v>High</v>
      </c>
      <c r="I146" s="1">
        <f>Table1[[#This Row],[Total Revenue]]*VLOOKUP(Table1[[#This Row],[Product ID]],Table2[],5,FALSE)</f>
        <v>180</v>
      </c>
      <c r="J146" s="1" t="str">
        <f>TEXT(Table1[[#This Row],[Date]],"mmmm")</f>
        <v>March</v>
      </c>
      <c r="K146" s="1"/>
    </row>
    <row r="147" spans="1:11" x14ac:dyDescent="0.3">
      <c r="A147" s="1">
        <v>1161</v>
      </c>
      <c r="B147" s="3">
        <v>45723</v>
      </c>
      <c r="C147" s="1" t="s">
        <v>5</v>
      </c>
      <c r="D147" s="1" t="s">
        <v>17</v>
      </c>
      <c r="E147" s="1">
        <v>5</v>
      </c>
      <c r="F147" s="8">
        <f>_xlfn.XLOOKUP(Table1[[#This Row],[Product ID]],Table2[Product ID],Table2[Unit Price])</f>
        <v>85</v>
      </c>
      <c r="G147" s="1">
        <f>Table1[[#This Row],[Units Sold]]*Table1[[#This Row],[Unit Price]]</f>
        <v>425</v>
      </c>
      <c r="H147" s="1" t="str" cm="1">
        <f t="array" ref="H147">_xlfn.IFS(Table1[[#This Row],[Total Revenue]]&gt;1000,"High",Table1[[#This Row],[Total Revenue]]&gt;=500,"Medium",Table1[[#This Row],[Total Revenue]]&lt;500,"Low")</f>
        <v>Low</v>
      </c>
      <c r="I147" s="1">
        <f>Table1[[#This Row],[Total Revenue]]*VLOOKUP(Table1[[#This Row],[Product ID]],Table2[],5,FALSE)</f>
        <v>51</v>
      </c>
      <c r="J147" s="1" t="str">
        <f>TEXT(Table1[[#This Row],[Date]],"mmmm")</f>
        <v>March</v>
      </c>
      <c r="K147" s="1"/>
    </row>
    <row r="148" spans="1:11" x14ac:dyDescent="0.3">
      <c r="A148" s="1">
        <v>1162</v>
      </c>
      <c r="B148" s="3">
        <v>45724</v>
      </c>
      <c r="C148" s="1" t="s">
        <v>7</v>
      </c>
      <c r="D148" s="1" t="s">
        <v>16</v>
      </c>
      <c r="E148" s="1">
        <v>6</v>
      </c>
      <c r="F148" s="8">
        <f>_xlfn.XLOOKUP(Table1[[#This Row],[Product ID]],Table2[Product ID],Table2[Unit Price])</f>
        <v>20</v>
      </c>
      <c r="G148" s="1">
        <f>Table1[[#This Row],[Units Sold]]*Table1[[#This Row],[Unit Price]]</f>
        <v>120</v>
      </c>
      <c r="H148" s="1" t="str" cm="1">
        <f t="array" ref="H148">_xlfn.IFS(Table1[[#This Row],[Total Revenue]]&gt;1000,"High",Table1[[#This Row],[Total Revenue]]&gt;=500,"Medium",Table1[[#This Row],[Total Revenue]]&lt;500,"Low")</f>
        <v>Low</v>
      </c>
      <c r="I148" s="1">
        <f>Table1[[#This Row],[Total Revenue]]*VLOOKUP(Table1[[#This Row],[Product ID]],Table2[],5,FALSE)</f>
        <v>9.6</v>
      </c>
      <c r="J148" s="1" t="str">
        <f>TEXT(Table1[[#This Row],[Date]],"mmmm")</f>
        <v>March</v>
      </c>
      <c r="K148" s="1"/>
    </row>
    <row r="149" spans="1:11" x14ac:dyDescent="0.3">
      <c r="A149" s="1">
        <v>1163</v>
      </c>
      <c r="B149" s="3">
        <v>45725</v>
      </c>
      <c r="C149" s="1" t="s">
        <v>9</v>
      </c>
      <c r="D149" s="1" t="s">
        <v>12</v>
      </c>
      <c r="E149" s="1">
        <v>4</v>
      </c>
      <c r="F149" s="8">
        <f>_xlfn.XLOOKUP(Table1[[#This Row],[Product ID]],Table2[Product ID],Table2[Unit Price])</f>
        <v>35</v>
      </c>
      <c r="G149" s="1">
        <f>Table1[[#This Row],[Units Sold]]*Table1[[#This Row],[Unit Price]]</f>
        <v>140</v>
      </c>
      <c r="H149" s="1" t="str" cm="1">
        <f t="array" ref="H149">_xlfn.IFS(Table1[[#This Row],[Total Revenue]]&gt;1000,"High",Table1[[#This Row],[Total Revenue]]&gt;=500,"Medium",Table1[[#This Row],[Total Revenue]]&lt;500,"Low")</f>
        <v>Low</v>
      </c>
      <c r="I149" s="1">
        <f>Table1[[#This Row],[Total Revenue]]*VLOOKUP(Table1[[#This Row],[Product ID]],Table2[],5,FALSE)</f>
        <v>14</v>
      </c>
      <c r="J149" s="1" t="str">
        <f>TEXT(Table1[[#This Row],[Date]],"mmmm")</f>
        <v>March</v>
      </c>
      <c r="K149" s="1"/>
    </row>
    <row r="150" spans="1:11" x14ac:dyDescent="0.3">
      <c r="A150" s="1">
        <v>1164</v>
      </c>
      <c r="B150" s="3">
        <v>45726</v>
      </c>
      <c r="C150" s="1" t="s">
        <v>11</v>
      </c>
      <c r="D150" s="1" t="s">
        <v>6</v>
      </c>
      <c r="E150" s="1">
        <v>9</v>
      </c>
      <c r="F150" s="8">
        <f>_xlfn.XLOOKUP(Table1[[#This Row],[Product ID]],Table2[Product ID],Table2[Unit Price])</f>
        <v>120</v>
      </c>
      <c r="G150" s="1">
        <f>Table1[[#This Row],[Units Sold]]*Table1[[#This Row],[Unit Price]]</f>
        <v>1080</v>
      </c>
      <c r="H150" s="1" t="str" cm="1">
        <f t="array" ref="H150">_xlfn.IFS(Table1[[#This Row],[Total Revenue]]&gt;1000,"High",Table1[[#This Row],[Total Revenue]]&gt;=500,"Medium",Table1[[#This Row],[Total Revenue]]&lt;500,"Low")</f>
        <v>High</v>
      </c>
      <c r="I150" s="1">
        <f>Table1[[#This Row],[Total Revenue]]*VLOOKUP(Table1[[#This Row],[Product ID]],Table2[],5,FALSE)</f>
        <v>162</v>
      </c>
      <c r="J150" s="1" t="str">
        <f>TEXT(Table1[[#This Row],[Date]],"mmmm")</f>
        <v>March</v>
      </c>
      <c r="K150" s="1"/>
    </row>
    <row r="151" spans="1:11" x14ac:dyDescent="0.3">
      <c r="A151" s="1">
        <v>1165</v>
      </c>
      <c r="B151" s="3">
        <v>45727</v>
      </c>
      <c r="C151" s="1" t="s">
        <v>5</v>
      </c>
      <c r="D151" s="1" t="s">
        <v>8</v>
      </c>
      <c r="E151" s="1">
        <v>8</v>
      </c>
      <c r="F151" s="8">
        <f>_xlfn.XLOOKUP(Table1[[#This Row],[Product ID]],Table2[Product ID],Table2[Unit Price])</f>
        <v>50</v>
      </c>
      <c r="G151" s="1">
        <f>Table1[[#This Row],[Units Sold]]*Table1[[#This Row],[Unit Price]]</f>
        <v>400</v>
      </c>
      <c r="H151" s="1" t="str" cm="1">
        <f t="array" ref="H151">_xlfn.IFS(Table1[[#This Row],[Total Revenue]]&gt;1000,"High",Table1[[#This Row],[Total Revenue]]&gt;=500,"Medium",Table1[[#This Row],[Total Revenue]]&lt;500,"Low")</f>
        <v>Low</v>
      </c>
      <c r="I151" s="1">
        <f>Table1[[#This Row],[Total Revenue]]*VLOOKUP(Table1[[#This Row],[Product ID]],Table2[],5,FALSE)</f>
        <v>40</v>
      </c>
      <c r="J151" s="1" t="str">
        <f>TEXT(Table1[[#This Row],[Date]],"mmmm")</f>
        <v>March</v>
      </c>
      <c r="K151" s="1"/>
    </row>
    <row r="152" spans="1:11" x14ac:dyDescent="0.3">
      <c r="A152" s="1">
        <v>1166</v>
      </c>
      <c r="B152" s="3">
        <v>45728</v>
      </c>
      <c r="C152" s="1" t="s">
        <v>7</v>
      </c>
      <c r="D152" s="1" t="s">
        <v>15</v>
      </c>
      <c r="E152" s="1">
        <v>10</v>
      </c>
      <c r="F152" s="8">
        <f>_xlfn.XLOOKUP(Table1[[#This Row],[Product ID]],Table2[Product ID],Table2[Unit Price])</f>
        <v>180</v>
      </c>
      <c r="G152" s="1">
        <f>Table1[[#This Row],[Units Sold]]*Table1[[#This Row],[Unit Price]]</f>
        <v>1800</v>
      </c>
      <c r="H152" s="1" t="str" cm="1">
        <f t="array" ref="H152">_xlfn.IFS(Table1[[#This Row],[Total Revenue]]&gt;1000,"High",Table1[[#This Row],[Total Revenue]]&gt;=500,"Medium",Table1[[#This Row],[Total Revenue]]&lt;500,"Low")</f>
        <v>High</v>
      </c>
      <c r="I152" s="1">
        <f>Table1[[#This Row],[Total Revenue]]*VLOOKUP(Table1[[#This Row],[Product ID]],Table2[],5,FALSE)</f>
        <v>324</v>
      </c>
      <c r="J152" s="1" t="str">
        <f>TEXT(Table1[[#This Row],[Date]],"mmmm")</f>
        <v>March</v>
      </c>
      <c r="K152" s="1"/>
    </row>
    <row r="153" spans="1:11" x14ac:dyDescent="0.3">
      <c r="A153" s="1">
        <v>1167</v>
      </c>
      <c r="B153" s="3">
        <v>45729</v>
      </c>
      <c r="C153" s="1" t="s">
        <v>9</v>
      </c>
      <c r="D153" s="1" t="s">
        <v>14</v>
      </c>
      <c r="E153" s="1">
        <v>9</v>
      </c>
      <c r="F153" s="8">
        <f>_xlfn.XLOOKUP(Table1[[#This Row],[Product ID]],Table2[Product ID],Table2[Unit Price])</f>
        <v>55</v>
      </c>
      <c r="G153" s="1">
        <f>Table1[[#This Row],[Units Sold]]*Table1[[#This Row],[Unit Price]]</f>
        <v>495</v>
      </c>
      <c r="H153" s="1" t="str" cm="1">
        <f t="array" ref="H153">_xlfn.IFS(Table1[[#This Row],[Total Revenue]]&gt;1000,"High",Table1[[#This Row],[Total Revenue]]&gt;=500,"Medium",Table1[[#This Row],[Total Revenue]]&lt;500,"Low")</f>
        <v>Low</v>
      </c>
      <c r="I153" s="1">
        <f>Table1[[#This Row],[Total Revenue]]*VLOOKUP(Table1[[#This Row],[Product ID]],Table2[],5,FALSE)</f>
        <v>49.5</v>
      </c>
      <c r="J153" s="1" t="str">
        <f>TEXT(Table1[[#This Row],[Date]],"mmmm")</f>
        <v>March</v>
      </c>
      <c r="K153" s="1"/>
    </row>
    <row r="154" spans="1:11" x14ac:dyDescent="0.3">
      <c r="A154" s="1">
        <v>1168</v>
      </c>
      <c r="B154" s="3">
        <v>45730</v>
      </c>
      <c r="C154" s="1" t="s">
        <v>11</v>
      </c>
      <c r="D154" s="1" t="s">
        <v>13</v>
      </c>
      <c r="E154" s="1">
        <v>4</v>
      </c>
      <c r="F154" s="8">
        <f>_xlfn.XLOOKUP(Table1[[#This Row],[Product ID]],Table2[Product ID],Table2[Unit Price])</f>
        <v>25</v>
      </c>
      <c r="G154" s="1">
        <f>Table1[[#This Row],[Units Sold]]*Table1[[#This Row],[Unit Price]]</f>
        <v>100</v>
      </c>
      <c r="H154" s="1" t="str" cm="1">
        <f t="array" ref="H154">_xlfn.IFS(Table1[[#This Row],[Total Revenue]]&gt;1000,"High",Table1[[#This Row],[Total Revenue]]&gt;=500,"Medium",Table1[[#This Row],[Total Revenue]]&lt;500,"Low")</f>
        <v>Low</v>
      </c>
      <c r="I154" s="1">
        <f>Table1[[#This Row],[Total Revenue]]*VLOOKUP(Table1[[#This Row],[Product ID]],Table2[],5,FALSE)</f>
        <v>8</v>
      </c>
      <c r="J154" s="1" t="str">
        <f>TEXT(Table1[[#This Row],[Date]],"mmmm")</f>
        <v>March</v>
      </c>
      <c r="K154" s="1"/>
    </row>
    <row r="155" spans="1:11" x14ac:dyDescent="0.3">
      <c r="A155" s="1">
        <v>1169</v>
      </c>
      <c r="B155" s="3">
        <v>45731</v>
      </c>
      <c r="C155" s="1" t="s">
        <v>5</v>
      </c>
      <c r="D155" s="1" t="s">
        <v>10</v>
      </c>
      <c r="E155" s="1">
        <v>7</v>
      </c>
      <c r="F155" s="8">
        <f>_xlfn.XLOOKUP(Table1[[#This Row],[Product ID]],Table2[Product ID],Table2[Unit Price])</f>
        <v>150</v>
      </c>
      <c r="G155" s="1">
        <f>Table1[[#This Row],[Units Sold]]*Table1[[#This Row],[Unit Price]]</f>
        <v>1050</v>
      </c>
      <c r="H155" s="1" t="str" cm="1">
        <f t="array" ref="H155">_xlfn.IFS(Table1[[#This Row],[Total Revenue]]&gt;1000,"High",Table1[[#This Row],[Total Revenue]]&gt;=500,"Medium",Table1[[#This Row],[Total Revenue]]&lt;500,"Low")</f>
        <v>High</v>
      </c>
      <c r="I155" s="1">
        <f>Table1[[#This Row],[Total Revenue]]*VLOOKUP(Table1[[#This Row],[Product ID]],Table2[],5,FALSE)</f>
        <v>157.5</v>
      </c>
      <c r="J155" s="1" t="str">
        <f>TEXT(Table1[[#This Row],[Date]],"mmmm")</f>
        <v>March</v>
      </c>
      <c r="K155" s="1"/>
    </row>
    <row r="156" spans="1:11" x14ac:dyDescent="0.3">
      <c r="A156" s="1">
        <v>1170</v>
      </c>
      <c r="B156" s="3">
        <v>45732</v>
      </c>
      <c r="C156" s="1" t="s">
        <v>7</v>
      </c>
      <c r="D156" s="1" t="s">
        <v>17</v>
      </c>
      <c r="E156" s="1">
        <v>3</v>
      </c>
      <c r="F156" s="8">
        <f>_xlfn.XLOOKUP(Table1[[#This Row],[Product ID]],Table2[Product ID],Table2[Unit Price])</f>
        <v>85</v>
      </c>
      <c r="G156" s="1">
        <f>Table1[[#This Row],[Units Sold]]*Table1[[#This Row],[Unit Price]]</f>
        <v>255</v>
      </c>
      <c r="H156" s="1" t="str" cm="1">
        <f t="array" ref="H156">_xlfn.IFS(Table1[[#This Row],[Total Revenue]]&gt;1000,"High",Table1[[#This Row],[Total Revenue]]&gt;=500,"Medium",Table1[[#This Row],[Total Revenue]]&lt;500,"Low")</f>
        <v>Low</v>
      </c>
      <c r="I156" s="1">
        <f>Table1[[#This Row],[Total Revenue]]*VLOOKUP(Table1[[#This Row],[Product ID]],Table2[],5,FALSE)</f>
        <v>30.599999999999998</v>
      </c>
      <c r="J156" s="1" t="str">
        <f>TEXT(Table1[[#This Row],[Date]],"mmmm")</f>
        <v>March</v>
      </c>
      <c r="K156" s="1"/>
    </row>
    <row r="157" spans="1:11" x14ac:dyDescent="0.3">
      <c r="A157" s="1">
        <v>1171</v>
      </c>
      <c r="B157" s="3">
        <v>45733</v>
      </c>
      <c r="C157" s="1" t="s">
        <v>9</v>
      </c>
      <c r="D157" s="1" t="s">
        <v>16</v>
      </c>
      <c r="E157" s="1">
        <v>5</v>
      </c>
      <c r="F157" s="8">
        <f>_xlfn.XLOOKUP(Table1[[#This Row],[Product ID]],Table2[Product ID],Table2[Unit Price])</f>
        <v>20</v>
      </c>
      <c r="G157" s="1">
        <f>Table1[[#This Row],[Units Sold]]*Table1[[#This Row],[Unit Price]]</f>
        <v>100</v>
      </c>
      <c r="H157" s="1" t="str" cm="1">
        <f t="array" ref="H157">_xlfn.IFS(Table1[[#This Row],[Total Revenue]]&gt;1000,"High",Table1[[#This Row],[Total Revenue]]&gt;=500,"Medium",Table1[[#This Row],[Total Revenue]]&lt;500,"Low")</f>
        <v>Low</v>
      </c>
      <c r="I157" s="1">
        <f>Table1[[#This Row],[Total Revenue]]*VLOOKUP(Table1[[#This Row],[Product ID]],Table2[],5,FALSE)</f>
        <v>8</v>
      </c>
      <c r="J157" s="1" t="str">
        <f>TEXT(Table1[[#This Row],[Date]],"mmmm")</f>
        <v>March</v>
      </c>
      <c r="K157" s="1"/>
    </row>
    <row r="158" spans="1:11" x14ac:dyDescent="0.3">
      <c r="A158" s="1">
        <v>1172</v>
      </c>
      <c r="B158" s="3">
        <v>45734</v>
      </c>
      <c r="C158" s="1" t="s">
        <v>11</v>
      </c>
      <c r="D158" s="1" t="s">
        <v>12</v>
      </c>
      <c r="E158" s="1">
        <v>6</v>
      </c>
      <c r="F158" s="8">
        <f>_xlfn.XLOOKUP(Table1[[#This Row],[Product ID]],Table2[Product ID],Table2[Unit Price])</f>
        <v>35</v>
      </c>
      <c r="G158" s="1">
        <f>Table1[[#This Row],[Units Sold]]*Table1[[#This Row],[Unit Price]]</f>
        <v>210</v>
      </c>
      <c r="H158" s="1" t="str" cm="1">
        <f t="array" ref="H158">_xlfn.IFS(Table1[[#This Row],[Total Revenue]]&gt;1000,"High",Table1[[#This Row],[Total Revenue]]&gt;=500,"Medium",Table1[[#This Row],[Total Revenue]]&lt;500,"Low")</f>
        <v>Low</v>
      </c>
      <c r="I158" s="1">
        <f>Table1[[#This Row],[Total Revenue]]*VLOOKUP(Table1[[#This Row],[Product ID]],Table2[],5,FALSE)</f>
        <v>21</v>
      </c>
      <c r="J158" s="1" t="str">
        <f>TEXT(Table1[[#This Row],[Date]],"mmmm")</f>
        <v>March</v>
      </c>
      <c r="K158" s="1"/>
    </row>
    <row r="159" spans="1:11" x14ac:dyDescent="0.3">
      <c r="A159" s="1">
        <v>1173</v>
      </c>
      <c r="B159" s="3">
        <v>45735</v>
      </c>
      <c r="C159" s="1" t="s">
        <v>5</v>
      </c>
      <c r="D159" s="1" t="s">
        <v>6</v>
      </c>
      <c r="E159" s="1">
        <v>11</v>
      </c>
      <c r="F159" s="8">
        <f>_xlfn.XLOOKUP(Table1[[#This Row],[Product ID]],Table2[Product ID],Table2[Unit Price])</f>
        <v>120</v>
      </c>
      <c r="G159" s="1">
        <f>Table1[[#This Row],[Units Sold]]*Table1[[#This Row],[Unit Price]]</f>
        <v>1320</v>
      </c>
      <c r="H159" s="1" t="str" cm="1">
        <f t="array" ref="H159">_xlfn.IFS(Table1[[#This Row],[Total Revenue]]&gt;1000,"High",Table1[[#This Row],[Total Revenue]]&gt;=500,"Medium",Table1[[#This Row],[Total Revenue]]&lt;500,"Low")</f>
        <v>High</v>
      </c>
      <c r="I159" s="1">
        <f>Table1[[#This Row],[Total Revenue]]*VLOOKUP(Table1[[#This Row],[Product ID]],Table2[],5,FALSE)</f>
        <v>198</v>
      </c>
      <c r="J159" s="1" t="str">
        <f>TEXT(Table1[[#This Row],[Date]],"mmmm")</f>
        <v>March</v>
      </c>
      <c r="K159" s="1"/>
    </row>
    <row r="160" spans="1:11" x14ac:dyDescent="0.3">
      <c r="A160" s="1">
        <v>1174</v>
      </c>
      <c r="B160" s="3">
        <v>45736</v>
      </c>
      <c r="C160" s="1" t="s">
        <v>7</v>
      </c>
      <c r="D160" s="1" t="s">
        <v>8</v>
      </c>
      <c r="E160" s="1">
        <v>7</v>
      </c>
      <c r="F160" s="8">
        <f>_xlfn.XLOOKUP(Table1[[#This Row],[Product ID]],Table2[Product ID],Table2[Unit Price])</f>
        <v>50</v>
      </c>
      <c r="G160" s="1">
        <f>Table1[[#This Row],[Units Sold]]*Table1[[#This Row],[Unit Price]]</f>
        <v>350</v>
      </c>
      <c r="H160" s="1" t="str" cm="1">
        <f t="array" ref="H160">_xlfn.IFS(Table1[[#This Row],[Total Revenue]]&gt;1000,"High",Table1[[#This Row],[Total Revenue]]&gt;=500,"Medium",Table1[[#This Row],[Total Revenue]]&lt;500,"Low")</f>
        <v>Low</v>
      </c>
      <c r="I160" s="1">
        <f>Table1[[#This Row],[Total Revenue]]*VLOOKUP(Table1[[#This Row],[Product ID]],Table2[],5,FALSE)</f>
        <v>35</v>
      </c>
      <c r="J160" s="1" t="str">
        <f>TEXT(Table1[[#This Row],[Date]],"mmmm")</f>
        <v>March</v>
      </c>
      <c r="K160" s="1"/>
    </row>
    <row r="161" spans="1:11" x14ac:dyDescent="0.3">
      <c r="A161" s="1">
        <v>1175</v>
      </c>
      <c r="B161" s="3">
        <v>45737</v>
      </c>
      <c r="C161" s="1" t="s">
        <v>9</v>
      </c>
      <c r="D161" s="1" t="s">
        <v>15</v>
      </c>
      <c r="E161" s="1">
        <v>5</v>
      </c>
      <c r="F161" s="8">
        <f>_xlfn.XLOOKUP(Table1[[#This Row],[Product ID]],Table2[Product ID],Table2[Unit Price])</f>
        <v>180</v>
      </c>
      <c r="G161" s="1">
        <f>Table1[[#This Row],[Units Sold]]*Table1[[#This Row],[Unit Price]]</f>
        <v>900</v>
      </c>
      <c r="H161" s="1" t="str" cm="1">
        <f t="array" ref="H161">_xlfn.IFS(Table1[[#This Row],[Total Revenue]]&gt;1000,"High",Table1[[#This Row],[Total Revenue]]&gt;=500,"Medium",Table1[[#This Row],[Total Revenue]]&lt;500,"Low")</f>
        <v>Medium</v>
      </c>
      <c r="I161" s="1">
        <f>Table1[[#This Row],[Total Revenue]]*VLOOKUP(Table1[[#This Row],[Product ID]],Table2[],5,FALSE)</f>
        <v>162</v>
      </c>
      <c r="J161" s="1" t="str">
        <f>TEXT(Table1[[#This Row],[Date]],"mmmm")</f>
        <v>March</v>
      </c>
      <c r="K161" s="1"/>
    </row>
    <row r="162" spans="1:11" x14ac:dyDescent="0.3">
      <c r="A162" s="1">
        <v>1176</v>
      </c>
      <c r="B162" s="3">
        <v>45738</v>
      </c>
      <c r="C162" s="1" t="s">
        <v>11</v>
      </c>
      <c r="D162" s="1" t="s">
        <v>14</v>
      </c>
      <c r="E162" s="1">
        <v>9</v>
      </c>
      <c r="F162" s="8">
        <f>_xlfn.XLOOKUP(Table1[[#This Row],[Product ID]],Table2[Product ID],Table2[Unit Price])</f>
        <v>55</v>
      </c>
      <c r="G162" s="1">
        <f>Table1[[#This Row],[Units Sold]]*Table1[[#This Row],[Unit Price]]</f>
        <v>495</v>
      </c>
      <c r="H162" s="1" t="str" cm="1">
        <f t="array" ref="H162">_xlfn.IFS(Table1[[#This Row],[Total Revenue]]&gt;1000,"High",Table1[[#This Row],[Total Revenue]]&gt;=500,"Medium",Table1[[#This Row],[Total Revenue]]&lt;500,"Low")</f>
        <v>Low</v>
      </c>
      <c r="I162" s="1">
        <f>Table1[[#This Row],[Total Revenue]]*VLOOKUP(Table1[[#This Row],[Product ID]],Table2[],5,FALSE)</f>
        <v>49.5</v>
      </c>
      <c r="J162" s="1" t="str">
        <f>TEXT(Table1[[#This Row],[Date]],"mmmm")</f>
        <v>March</v>
      </c>
      <c r="K162" s="1"/>
    </row>
    <row r="163" spans="1:11" x14ac:dyDescent="0.3">
      <c r="A163" s="1">
        <v>1177</v>
      </c>
      <c r="B163" s="3">
        <v>45739</v>
      </c>
      <c r="C163" s="1" t="s">
        <v>5</v>
      </c>
      <c r="D163" s="1" t="s">
        <v>13</v>
      </c>
      <c r="E163" s="1">
        <v>3</v>
      </c>
      <c r="F163" s="8">
        <f>_xlfn.XLOOKUP(Table1[[#This Row],[Product ID]],Table2[Product ID],Table2[Unit Price])</f>
        <v>25</v>
      </c>
      <c r="G163" s="1">
        <f>Table1[[#This Row],[Units Sold]]*Table1[[#This Row],[Unit Price]]</f>
        <v>75</v>
      </c>
      <c r="H163" s="1" t="str" cm="1">
        <f t="array" ref="H163">_xlfn.IFS(Table1[[#This Row],[Total Revenue]]&gt;1000,"High",Table1[[#This Row],[Total Revenue]]&gt;=500,"Medium",Table1[[#This Row],[Total Revenue]]&lt;500,"Low")</f>
        <v>Low</v>
      </c>
      <c r="I163" s="1">
        <f>Table1[[#This Row],[Total Revenue]]*VLOOKUP(Table1[[#This Row],[Product ID]],Table2[],5,FALSE)</f>
        <v>6</v>
      </c>
      <c r="J163" s="1" t="str">
        <f>TEXT(Table1[[#This Row],[Date]],"mmmm")</f>
        <v>March</v>
      </c>
      <c r="K163" s="1"/>
    </row>
    <row r="164" spans="1:11" x14ac:dyDescent="0.3">
      <c r="A164" s="1">
        <v>1178</v>
      </c>
      <c r="B164" s="3">
        <v>45740</v>
      </c>
      <c r="C164" s="1" t="s">
        <v>7</v>
      </c>
      <c r="D164" s="1" t="s">
        <v>10</v>
      </c>
      <c r="E164" s="1">
        <v>6</v>
      </c>
      <c r="F164" s="8">
        <f>_xlfn.XLOOKUP(Table1[[#This Row],[Product ID]],Table2[Product ID],Table2[Unit Price])</f>
        <v>150</v>
      </c>
      <c r="G164" s="1">
        <f>Table1[[#This Row],[Units Sold]]*Table1[[#This Row],[Unit Price]]</f>
        <v>900</v>
      </c>
      <c r="H164" s="1" t="str" cm="1">
        <f t="array" ref="H164">_xlfn.IFS(Table1[[#This Row],[Total Revenue]]&gt;1000,"High",Table1[[#This Row],[Total Revenue]]&gt;=500,"Medium",Table1[[#This Row],[Total Revenue]]&lt;500,"Low")</f>
        <v>Medium</v>
      </c>
      <c r="I164" s="1">
        <f>Table1[[#This Row],[Total Revenue]]*VLOOKUP(Table1[[#This Row],[Product ID]],Table2[],5,FALSE)</f>
        <v>135</v>
      </c>
      <c r="J164" s="1" t="str">
        <f>TEXT(Table1[[#This Row],[Date]],"mmmm")</f>
        <v>March</v>
      </c>
      <c r="K164" s="1"/>
    </row>
    <row r="165" spans="1:11" x14ac:dyDescent="0.3">
      <c r="A165" s="1">
        <v>1179</v>
      </c>
      <c r="B165" s="3">
        <v>45741</v>
      </c>
      <c r="C165" s="1" t="s">
        <v>9</v>
      </c>
      <c r="D165" s="1" t="s">
        <v>17</v>
      </c>
      <c r="E165" s="1">
        <v>10</v>
      </c>
      <c r="F165" s="8">
        <f>_xlfn.XLOOKUP(Table1[[#This Row],[Product ID]],Table2[Product ID],Table2[Unit Price])</f>
        <v>85</v>
      </c>
      <c r="G165" s="1">
        <f>Table1[[#This Row],[Units Sold]]*Table1[[#This Row],[Unit Price]]</f>
        <v>850</v>
      </c>
      <c r="H165" s="1" t="str" cm="1">
        <f t="array" ref="H165">_xlfn.IFS(Table1[[#This Row],[Total Revenue]]&gt;1000,"High",Table1[[#This Row],[Total Revenue]]&gt;=500,"Medium",Table1[[#This Row],[Total Revenue]]&lt;500,"Low")</f>
        <v>Medium</v>
      </c>
      <c r="I165" s="1">
        <f>Table1[[#This Row],[Total Revenue]]*VLOOKUP(Table1[[#This Row],[Product ID]],Table2[],5,FALSE)</f>
        <v>102</v>
      </c>
      <c r="J165" s="1" t="str">
        <f>TEXT(Table1[[#This Row],[Date]],"mmmm")</f>
        <v>March</v>
      </c>
      <c r="K165" s="1"/>
    </row>
    <row r="166" spans="1:11" x14ac:dyDescent="0.3">
      <c r="A166" s="1">
        <v>1180</v>
      </c>
      <c r="B166" s="3">
        <v>45742</v>
      </c>
      <c r="C166" s="1" t="s">
        <v>11</v>
      </c>
      <c r="D166" s="1" t="s">
        <v>16</v>
      </c>
      <c r="E166" s="1">
        <v>5</v>
      </c>
      <c r="F166" s="8">
        <f>_xlfn.XLOOKUP(Table1[[#This Row],[Product ID]],Table2[Product ID],Table2[Unit Price])</f>
        <v>20</v>
      </c>
      <c r="G166" s="1">
        <f>Table1[[#This Row],[Units Sold]]*Table1[[#This Row],[Unit Price]]</f>
        <v>100</v>
      </c>
      <c r="H166" s="1" t="str" cm="1">
        <f t="array" ref="H166">_xlfn.IFS(Table1[[#This Row],[Total Revenue]]&gt;1000,"High",Table1[[#This Row],[Total Revenue]]&gt;=500,"Medium",Table1[[#This Row],[Total Revenue]]&lt;500,"Low")</f>
        <v>Low</v>
      </c>
      <c r="I166" s="1">
        <f>Table1[[#This Row],[Total Revenue]]*VLOOKUP(Table1[[#This Row],[Product ID]],Table2[],5,FALSE)</f>
        <v>8</v>
      </c>
      <c r="J166" s="1" t="str">
        <f>TEXT(Table1[[#This Row],[Date]],"mmmm")</f>
        <v>March</v>
      </c>
      <c r="K166" s="1"/>
    </row>
    <row r="167" spans="1:11" x14ac:dyDescent="0.3">
      <c r="A167" s="1">
        <v>1181</v>
      </c>
      <c r="B167" s="3">
        <v>45743</v>
      </c>
      <c r="C167" s="1" t="s">
        <v>5</v>
      </c>
      <c r="D167" s="1" t="s">
        <v>12</v>
      </c>
      <c r="E167" s="1">
        <v>8</v>
      </c>
      <c r="F167" s="8">
        <f>_xlfn.XLOOKUP(Table1[[#This Row],[Product ID]],Table2[Product ID],Table2[Unit Price])</f>
        <v>35</v>
      </c>
      <c r="G167" s="1">
        <f>Table1[[#This Row],[Units Sold]]*Table1[[#This Row],[Unit Price]]</f>
        <v>280</v>
      </c>
      <c r="H167" s="1" t="str" cm="1">
        <f t="array" ref="H167">_xlfn.IFS(Table1[[#This Row],[Total Revenue]]&gt;1000,"High",Table1[[#This Row],[Total Revenue]]&gt;=500,"Medium",Table1[[#This Row],[Total Revenue]]&lt;500,"Low")</f>
        <v>Low</v>
      </c>
      <c r="I167" s="1">
        <f>Table1[[#This Row],[Total Revenue]]*VLOOKUP(Table1[[#This Row],[Product ID]],Table2[],5,FALSE)</f>
        <v>28</v>
      </c>
      <c r="J167" s="1" t="str">
        <f>TEXT(Table1[[#This Row],[Date]],"mmmm")</f>
        <v>March</v>
      </c>
      <c r="K167" s="1"/>
    </row>
    <row r="168" spans="1:11" x14ac:dyDescent="0.3">
      <c r="A168" s="1">
        <v>1182</v>
      </c>
      <c r="B168" s="3">
        <v>45744</v>
      </c>
      <c r="C168" s="1" t="s">
        <v>7</v>
      </c>
      <c r="D168" s="1" t="s">
        <v>6</v>
      </c>
      <c r="E168" s="1">
        <v>10</v>
      </c>
      <c r="F168" s="8">
        <f>_xlfn.XLOOKUP(Table1[[#This Row],[Product ID]],Table2[Product ID],Table2[Unit Price])</f>
        <v>120</v>
      </c>
      <c r="G168" s="1">
        <f>Table1[[#This Row],[Units Sold]]*Table1[[#This Row],[Unit Price]]</f>
        <v>1200</v>
      </c>
      <c r="H168" s="1" t="str" cm="1">
        <f t="array" ref="H168">_xlfn.IFS(Table1[[#This Row],[Total Revenue]]&gt;1000,"High",Table1[[#This Row],[Total Revenue]]&gt;=500,"Medium",Table1[[#This Row],[Total Revenue]]&lt;500,"Low")</f>
        <v>High</v>
      </c>
      <c r="I168" s="1">
        <f>Table1[[#This Row],[Total Revenue]]*VLOOKUP(Table1[[#This Row],[Product ID]],Table2[],5,FALSE)</f>
        <v>180</v>
      </c>
      <c r="J168" s="1" t="str">
        <f>TEXT(Table1[[#This Row],[Date]],"mmmm")</f>
        <v>March</v>
      </c>
      <c r="K168" s="1"/>
    </row>
    <row r="169" spans="1:11" x14ac:dyDescent="0.3">
      <c r="A169" s="1">
        <v>1183</v>
      </c>
      <c r="B169" s="3">
        <v>45745</v>
      </c>
      <c r="C169" s="1" t="s">
        <v>9</v>
      </c>
      <c r="D169" s="1" t="s">
        <v>8</v>
      </c>
      <c r="E169" s="1">
        <v>4</v>
      </c>
      <c r="F169" s="8">
        <f>_xlfn.XLOOKUP(Table1[[#This Row],[Product ID]],Table2[Product ID],Table2[Unit Price])</f>
        <v>50</v>
      </c>
      <c r="G169" s="1">
        <f>Table1[[#This Row],[Units Sold]]*Table1[[#This Row],[Unit Price]]</f>
        <v>200</v>
      </c>
      <c r="H169" s="1" t="str" cm="1">
        <f t="array" ref="H169">_xlfn.IFS(Table1[[#This Row],[Total Revenue]]&gt;1000,"High",Table1[[#This Row],[Total Revenue]]&gt;=500,"Medium",Table1[[#This Row],[Total Revenue]]&lt;500,"Low")</f>
        <v>Low</v>
      </c>
      <c r="I169" s="1">
        <f>Table1[[#This Row],[Total Revenue]]*VLOOKUP(Table1[[#This Row],[Product ID]],Table2[],5,FALSE)</f>
        <v>20</v>
      </c>
      <c r="J169" s="1" t="str">
        <f>TEXT(Table1[[#This Row],[Date]],"mmmm")</f>
        <v>March</v>
      </c>
      <c r="K169" s="1"/>
    </row>
    <row r="170" spans="1:11" x14ac:dyDescent="0.3">
      <c r="A170" s="1">
        <v>1184</v>
      </c>
      <c r="B170" s="3">
        <v>45746</v>
      </c>
      <c r="C170" s="1" t="s">
        <v>11</v>
      </c>
      <c r="D170" s="1" t="s">
        <v>15</v>
      </c>
      <c r="E170" s="1">
        <v>6</v>
      </c>
      <c r="F170" s="8">
        <f>_xlfn.XLOOKUP(Table1[[#This Row],[Product ID]],Table2[Product ID],Table2[Unit Price])</f>
        <v>180</v>
      </c>
      <c r="G170" s="1">
        <f>Table1[[#This Row],[Units Sold]]*Table1[[#This Row],[Unit Price]]</f>
        <v>1080</v>
      </c>
      <c r="H170" s="1" t="str" cm="1">
        <f t="array" ref="H170">_xlfn.IFS(Table1[[#This Row],[Total Revenue]]&gt;1000,"High",Table1[[#This Row],[Total Revenue]]&gt;=500,"Medium",Table1[[#This Row],[Total Revenue]]&lt;500,"Low")</f>
        <v>High</v>
      </c>
      <c r="I170" s="1">
        <f>Table1[[#This Row],[Total Revenue]]*VLOOKUP(Table1[[#This Row],[Product ID]],Table2[],5,FALSE)</f>
        <v>194.4</v>
      </c>
      <c r="J170" s="1" t="str">
        <f>TEXT(Table1[[#This Row],[Date]],"mmmm")</f>
        <v>March</v>
      </c>
      <c r="K170" s="1"/>
    </row>
    <row r="171" spans="1:11" x14ac:dyDescent="0.3">
      <c r="A171" s="1">
        <v>1185</v>
      </c>
      <c r="B171" s="3">
        <v>45747</v>
      </c>
      <c r="C171" s="1" t="s">
        <v>5</v>
      </c>
      <c r="D171" s="1" t="s">
        <v>14</v>
      </c>
      <c r="E171" s="1">
        <v>12</v>
      </c>
      <c r="F171" s="8">
        <f>_xlfn.XLOOKUP(Table1[[#This Row],[Product ID]],Table2[Product ID],Table2[Unit Price])</f>
        <v>55</v>
      </c>
      <c r="G171" s="1">
        <f>Table1[[#This Row],[Units Sold]]*Table1[[#This Row],[Unit Price]]</f>
        <v>660</v>
      </c>
      <c r="H171" s="1" t="str" cm="1">
        <f t="array" ref="H171">_xlfn.IFS(Table1[[#This Row],[Total Revenue]]&gt;1000,"High",Table1[[#This Row],[Total Revenue]]&gt;=500,"Medium",Table1[[#This Row],[Total Revenue]]&lt;500,"Low")</f>
        <v>Medium</v>
      </c>
      <c r="I171" s="1">
        <f>Table1[[#This Row],[Total Revenue]]*VLOOKUP(Table1[[#This Row],[Product ID]],Table2[],5,FALSE)</f>
        <v>66</v>
      </c>
      <c r="J171" s="1" t="str">
        <f>TEXT(Table1[[#This Row],[Date]],"mmmm")</f>
        <v>March</v>
      </c>
      <c r="K171" s="1"/>
    </row>
    <row r="172" spans="1:11" x14ac:dyDescent="0.3">
      <c r="A172" s="1">
        <v>1186</v>
      </c>
      <c r="B172" s="3">
        <v>45747</v>
      </c>
      <c r="C172" s="1" t="s">
        <v>7</v>
      </c>
      <c r="D172" s="1" t="s">
        <v>13</v>
      </c>
      <c r="E172" s="1">
        <v>8</v>
      </c>
      <c r="F172" s="8">
        <f>_xlfn.XLOOKUP(Table1[[#This Row],[Product ID]],Table2[Product ID],Table2[Unit Price])</f>
        <v>25</v>
      </c>
      <c r="G172" s="1">
        <f>Table1[[#This Row],[Units Sold]]*Table1[[#This Row],[Unit Price]]</f>
        <v>200</v>
      </c>
      <c r="H172" s="1" t="str" cm="1">
        <f t="array" ref="H172">_xlfn.IFS(Table1[[#This Row],[Total Revenue]]&gt;1000,"High",Table1[[#This Row],[Total Revenue]]&gt;=500,"Medium",Table1[[#This Row],[Total Revenue]]&lt;500,"Low")</f>
        <v>Low</v>
      </c>
      <c r="I172" s="1">
        <f>Table1[[#This Row],[Total Revenue]]*VLOOKUP(Table1[[#This Row],[Product ID]],Table2[],5,FALSE)</f>
        <v>16</v>
      </c>
      <c r="J172" s="1" t="str">
        <f>TEXT(Table1[[#This Row],[Date]],"mmmm")</f>
        <v>March</v>
      </c>
      <c r="K172" s="1"/>
    </row>
    <row r="173" spans="1:11" x14ac:dyDescent="0.3">
      <c r="A173" s="1">
        <v>1187</v>
      </c>
      <c r="B173" s="3">
        <v>45747</v>
      </c>
      <c r="C173" s="1" t="s">
        <v>9</v>
      </c>
      <c r="D173" s="1" t="s">
        <v>10</v>
      </c>
      <c r="E173" s="1">
        <v>14</v>
      </c>
      <c r="F173" s="8">
        <f>_xlfn.XLOOKUP(Table1[[#This Row],[Product ID]],Table2[Product ID],Table2[Unit Price])</f>
        <v>150</v>
      </c>
      <c r="G173" s="1">
        <f>Table1[[#This Row],[Units Sold]]*Table1[[#This Row],[Unit Price]]</f>
        <v>2100</v>
      </c>
      <c r="H173" s="1" t="str" cm="1">
        <f t="array" ref="H173">_xlfn.IFS(Table1[[#This Row],[Total Revenue]]&gt;1000,"High",Table1[[#This Row],[Total Revenue]]&gt;=500,"Medium",Table1[[#This Row],[Total Revenue]]&lt;500,"Low")</f>
        <v>High</v>
      </c>
      <c r="I173" s="1">
        <f>Table1[[#This Row],[Total Revenue]]*VLOOKUP(Table1[[#This Row],[Product ID]],Table2[],5,FALSE)</f>
        <v>315</v>
      </c>
      <c r="J173" s="1" t="str">
        <f>TEXT(Table1[[#This Row],[Date]],"mmmm")</f>
        <v>March</v>
      </c>
      <c r="K173" s="1"/>
    </row>
    <row r="174" spans="1:11" x14ac:dyDescent="0.3">
      <c r="A174" s="1">
        <v>1188</v>
      </c>
      <c r="B174" s="3">
        <v>45747</v>
      </c>
      <c r="C174" s="1" t="s">
        <v>11</v>
      </c>
      <c r="D174" s="1" t="s">
        <v>17</v>
      </c>
      <c r="E174" s="1">
        <v>9</v>
      </c>
      <c r="F174" s="8">
        <f>_xlfn.XLOOKUP(Table1[[#This Row],[Product ID]],Table2[Product ID],Table2[Unit Price])</f>
        <v>85</v>
      </c>
      <c r="G174" s="1">
        <f>Table1[[#This Row],[Units Sold]]*Table1[[#This Row],[Unit Price]]</f>
        <v>765</v>
      </c>
      <c r="H174" s="1" t="str" cm="1">
        <f t="array" ref="H174">_xlfn.IFS(Table1[[#This Row],[Total Revenue]]&gt;1000,"High",Table1[[#This Row],[Total Revenue]]&gt;=500,"Medium",Table1[[#This Row],[Total Revenue]]&lt;500,"Low")</f>
        <v>Medium</v>
      </c>
      <c r="I174" s="1">
        <f>Table1[[#This Row],[Total Revenue]]*VLOOKUP(Table1[[#This Row],[Product ID]],Table2[],5,FALSE)</f>
        <v>91.8</v>
      </c>
      <c r="J174" s="1" t="str">
        <f>TEXT(Table1[[#This Row],[Date]],"mmmm")</f>
        <v>March</v>
      </c>
      <c r="K174" s="1"/>
    </row>
    <row r="175" spans="1:11" x14ac:dyDescent="0.3">
      <c r="A175" s="1">
        <v>1189</v>
      </c>
      <c r="B175" s="3">
        <v>45747</v>
      </c>
      <c r="C175" s="1" t="s">
        <v>5</v>
      </c>
      <c r="D175" s="1" t="s">
        <v>16</v>
      </c>
      <c r="E175" s="1">
        <v>7</v>
      </c>
      <c r="F175" s="8">
        <f>_xlfn.XLOOKUP(Table1[[#This Row],[Product ID]],Table2[Product ID],Table2[Unit Price])</f>
        <v>20</v>
      </c>
      <c r="G175" s="1">
        <f>Table1[[#This Row],[Units Sold]]*Table1[[#This Row],[Unit Price]]</f>
        <v>140</v>
      </c>
      <c r="H175" s="1" t="str" cm="1">
        <f t="array" ref="H175">_xlfn.IFS(Table1[[#This Row],[Total Revenue]]&gt;1000,"High",Table1[[#This Row],[Total Revenue]]&gt;=500,"Medium",Table1[[#This Row],[Total Revenue]]&lt;500,"Low")</f>
        <v>Low</v>
      </c>
      <c r="I175" s="1">
        <f>Table1[[#This Row],[Total Revenue]]*VLOOKUP(Table1[[#This Row],[Product ID]],Table2[],5,FALSE)</f>
        <v>11.200000000000001</v>
      </c>
      <c r="J175" s="1" t="str">
        <f>TEXT(Table1[[#This Row],[Date]],"mmmm")</f>
        <v>March</v>
      </c>
      <c r="K175" s="1"/>
    </row>
    <row r="176" spans="1:11" x14ac:dyDescent="0.3">
      <c r="A176" s="1">
        <v>1190</v>
      </c>
      <c r="B176" s="3">
        <v>45747</v>
      </c>
      <c r="C176" s="1" t="s">
        <v>7</v>
      </c>
      <c r="D176" s="1" t="s">
        <v>12</v>
      </c>
      <c r="E176" s="1">
        <v>10</v>
      </c>
      <c r="F176" s="8">
        <f>_xlfn.XLOOKUP(Table1[[#This Row],[Product ID]],Table2[Product ID],Table2[Unit Price])</f>
        <v>35</v>
      </c>
      <c r="G176" s="1">
        <f>Table1[[#This Row],[Units Sold]]*Table1[[#This Row],[Unit Price]]</f>
        <v>350</v>
      </c>
      <c r="H176" s="1" t="str" cm="1">
        <f t="array" ref="H176">_xlfn.IFS(Table1[[#This Row],[Total Revenue]]&gt;1000,"High",Table1[[#This Row],[Total Revenue]]&gt;=500,"Medium",Table1[[#This Row],[Total Revenue]]&lt;500,"Low")</f>
        <v>Low</v>
      </c>
      <c r="I176" s="1">
        <f>Table1[[#This Row],[Total Revenue]]*VLOOKUP(Table1[[#This Row],[Product ID]],Table2[],5,FALSE)</f>
        <v>35</v>
      </c>
      <c r="J176" s="1" t="str">
        <f>TEXT(Table1[[#This Row],[Date]],"mmmm")</f>
        <v>March</v>
      </c>
      <c r="K176" s="1"/>
    </row>
    <row r="177" spans="1:11" x14ac:dyDescent="0.3">
      <c r="A177" s="1">
        <v>1191</v>
      </c>
      <c r="B177" s="3">
        <v>45747</v>
      </c>
      <c r="C177" s="1" t="s">
        <v>9</v>
      </c>
      <c r="D177" s="1" t="s">
        <v>6</v>
      </c>
      <c r="E177" s="1">
        <v>5</v>
      </c>
      <c r="F177" s="8">
        <f>_xlfn.XLOOKUP(Table1[[#This Row],[Product ID]],Table2[Product ID],Table2[Unit Price])</f>
        <v>120</v>
      </c>
      <c r="G177" s="1">
        <f>Table1[[#This Row],[Units Sold]]*Table1[[#This Row],[Unit Price]]</f>
        <v>600</v>
      </c>
      <c r="H177" s="1" t="str" cm="1">
        <f t="array" ref="H177">_xlfn.IFS(Table1[[#This Row],[Total Revenue]]&gt;1000,"High",Table1[[#This Row],[Total Revenue]]&gt;=500,"Medium",Table1[[#This Row],[Total Revenue]]&lt;500,"Low")</f>
        <v>Medium</v>
      </c>
      <c r="I177" s="1">
        <f>Table1[[#This Row],[Total Revenue]]*VLOOKUP(Table1[[#This Row],[Product ID]],Table2[],5,FALSE)</f>
        <v>90</v>
      </c>
      <c r="J177" s="1" t="str">
        <f>TEXT(Table1[[#This Row],[Date]],"mmmm")</f>
        <v>March</v>
      </c>
      <c r="K177" s="1"/>
    </row>
    <row r="178" spans="1:11" x14ac:dyDescent="0.3">
      <c r="A178" s="1">
        <v>1192</v>
      </c>
      <c r="B178" s="3">
        <v>45747</v>
      </c>
      <c r="C178" s="1" t="s">
        <v>11</v>
      </c>
      <c r="D178" s="1" t="s">
        <v>8</v>
      </c>
      <c r="E178" s="1">
        <v>6</v>
      </c>
      <c r="F178" s="8">
        <f>_xlfn.XLOOKUP(Table1[[#This Row],[Product ID]],Table2[Product ID],Table2[Unit Price])</f>
        <v>50</v>
      </c>
      <c r="G178" s="1">
        <f>Table1[[#This Row],[Units Sold]]*Table1[[#This Row],[Unit Price]]</f>
        <v>300</v>
      </c>
      <c r="H178" s="1" t="str" cm="1">
        <f t="array" ref="H178">_xlfn.IFS(Table1[[#This Row],[Total Revenue]]&gt;1000,"High",Table1[[#This Row],[Total Revenue]]&gt;=500,"Medium",Table1[[#This Row],[Total Revenue]]&lt;500,"Low")</f>
        <v>Low</v>
      </c>
      <c r="I178" s="1">
        <f>Table1[[#This Row],[Total Revenue]]*VLOOKUP(Table1[[#This Row],[Product ID]],Table2[],5,FALSE)</f>
        <v>30</v>
      </c>
      <c r="J178" s="1" t="str">
        <f>TEXT(Table1[[#This Row],[Date]],"mmmm")</f>
        <v>March</v>
      </c>
      <c r="K178" s="1"/>
    </row>
    <row r="179" spans="1:11" x14ac:dyDescent="0.3">
      <c r="A179" s="1">
        <v>1193</v>
      </c>
      <c r="B179" s="3">
        <v>45747</v>
      </c>
      <c r="C179" s="1" t="s">
        <v>5</v>
      </c>
      <c r="D179" s="1" t="s">
        <v>15</v>
      </c>
      <c r="E179" s="1">
        <v>7</v>
      </c>
      <c r="F179" s="8">
        <f>_xlfn.XLOOKUP(Table1[[#This Row],[Product ID]],Table2[Product ID],Table2[Unit Price])</f>
        <v>180</v>
      </c>
      <c r="G179" s="1">
        <f>Table1[[#This Row],[Units Sold]]*Table1[[#This Row],[Unit Price]]</f>
        <v>1260</v>
      </c>
      <c r="H179" s="1" t="str" cm="1">
        <f t="array" ref="H179">_xlfn.IFS(Table1[[#This Row],[Total Revenue]]&gt;1000,"High",Table1[[#This Row],[Total Revenue]]&gt;=500,"Medium",Table1[[#This Row],[Total Revenue]]&lt;500,"Low")</f>
        <v>High</v>
      </c>
      <c r="I179" s="1">
        <f>Table1[[#This Row],[Total Revenue]]*VLOOKUP(Table1[[#This Row],[Product ID]],Table2[],5,FALSE)</f>
        <v>226.79999999999998</v>
      </c>
      <c r="J179" s="1" t="str">
        <f>TEXT(Table1[[#This Row],[Date]],"mmmm")</f>
        <v>March</v>
      </c>
      <c r="K179" s="1"/>
    </row>
    <row r="180" spans="1:11" x14ac:dyDescent="0.3">
      <c r="A180" s="1">
        <v>1194</v>
      </c>
      <c r="B180" s="3">
        <v>45747</v>
      </c>
      <c r="C180" s="1" t="s">
        <v>7</v>
      </c>
      <c r="D180" s="1" t="s">
        <v>14</v>
      </c>
      <c r="E180" s="1">
        <v>4</v>
      </c>
      <c r="F180" s="8">
        <f>_xlfn.XLOOKUP(Table1[[#This Row],[Product ID]],Table2[Product ID],Table2[Unit Price])</f>
        <v>55</v>
      </c>
      <c r="G180" s="1">
        <f>Table1[[#This Row],[Units Sold]]*Table1[[#This Row],[Unit Price]]</f>
        <v>220</v>
      </c>
      <c r="H180" s="1" t="str" cm="1">
        <f t="array" ref="H180">_xlfn.IFS(Table1[[#This Row],[Total Revenue]]&gt;1000,"High",Table1[[#This Row],[Total Revenue]]&gt;=500,"Medium",Table1[[#This Row],[Total Revenue]]&lt;500,"Low")</f>
        <v>Low</v>
      </c>
      <c r="I180" s="1">
        <f>Table1[[#This Row],[Total Revenue]]*VLOOKUP(Table1[[#This Row],[Product ID]],Table2[],5,FALSE)</f>
        <v>22</v>
      </c>
      <c r="J180" s="1" t="str">
        <f>TEXT(Table1[[#This Row],[Date]],"mmmm")</f>
        <v>March</v>
      </c>
      <c r="K180" s="1"/>
    </row>
    <row r="181" spans="1:11" x14ac:dyDescent="0.3">
      <c r="A181" s="1">
        <v>1195</v>
      </c>
      <c r="B181" s="3">
        <v>45747</v>
      </c>
      <c r="C181" s="1" t="s">
        <v>9</v>
      </c>
      <c r="D181" s="1" t="s">
        <v>13</v>
      </c>
      <c r="E181" s="1">
        <v>3</v>
      </c>
      <c r="F181" s="8">
        <f>_xlfn.XLOOKUP(Table1[[#This Row],[Product ID]],Table2[Product ID],Table2[Unit Price])</f>
        <v>25</v>
      </c>
      <c r="G181" s="1">
        <f>Table1[[#This Row],[Units Sold]]*Table1[[#This Row],[Unit Price]]</f>
        <v>75</v>
      </c>
      <c r="H181" s="1" t="str" cm="1">
        <f t="array" ref="H181">_xlfn.IFS(Table1[[#This Row],[Total Revenue]]&gt;1000,"High",Table1[[#This Row],[Total Revenue]]&gt;=500,"Medium",Table1[[#This Row],[Total Revenue]]&lt;500,"Low")</f>
        <v>Low</v>
      </c>
      <c r="I181" s="1">
        <f>Table1[[#This Row],[Total Revenue]]*VLOOKUP(Table1[[#This Row],[Product ID]],Table2[],5,FALSE)</f>
        <v>6</v>
      </c>
      <c r="J181" s="1" t="str">
        <f>TEXT(Table1[[#This Row],[Date]],"mmmm")</f>
        <v>March</v>
      </c>
      <c r="K181" s="1"/>
    </row>
    <row r="182" spans="1:11" x14ac:dyDescent="0.3">
      <c r="A182" s="1">
        <v>1196</v>
      </c>
      <c r="B182" s="3">
        <v>45747</v>
      </c>
      <c r="C182" s="1" t="s">
        <v>11</v>
      </c>
      <c r="D182" s="1" t="s">
        <v>10</v>
      </c>
      <c r="E182" s="1">
        <v>9</v>
      </c>
      <c r="F182" s="8">
        <f>_xlfn.XLOOKUP(Table1[[#This Row],[Product ID]],Table2[Product ID],Table2[Unit Price])</f>
        <v>150</v>
      </c>
      <c r="G182" s="1">
        <f>Table1[[#This Row],[Units Sold]]*Table1[[#This Row],[Unit Price]]</f>
        <v>1350</v>
      </c>
      <c r="H182" s="1" t="str" cm="1">
        <f t="array" ref="H182">_xlfn.IFS(Table1[[#This Row],[Total Revenue]]&gt;1000,"High",Table1[[#This Row],[Total Revenue]]&gt;=500,"Medium",Table1[[#This Row],[Total Revenue]]&lt;500,"Low")</f>
        <v>High</v>
      </c>
      <c r="I182" s="1">
        <f>Table1[[#This Row],[Total Revenue]]*VLOOKUP(Table1[[#This Row],[Product ID]],Table2[],5,FALSE)</f>
        <v>202.5</v>
      </c>
      <c r="J182" s="1" t="str">
        <f>TEXT(Table1[[#This Row],[Date]],"mmmm")</f>
        <v>March</v>
      </c>
      <c r="K182" s="1"/>
    </row>
    <row r="183" spans="1:11" x14ac:dyDescent="0.3">
      <c r="A183" s="1">
        <v>1197</v>
      </c>
      <c r="B183" s="3">
        <v>45747</v>
      </c>
      <c r="C183" s="1" t="s">
        <v>5</v>
      </c>
      <c r="D183" s="1" t="s">
        <v>17</v>
      </c>
      <c r="E183" s="1">
        <v>6</v>
      </c>
      <c r="F183" s="8">
        <f>_xlfn.XLOOKUP(Table1[[#This Row],[Product ID]],Table2[Product ID],Table2[Unit Price])</f>
        <v>85</v>
      </c>
      <c r="G183" s="1">
        <f>Table1[[#This Row],[Units Sold]]*Table1[[#This Row],[Unit Price]]</f>
        <v>510</v>
      </c>
      <c r="H183" s="1" t="str" cm="1">
        <f t="array" ref="H183">_xlfn.IFS(Table1[[#This Row],[Total Revenue]]&gt;1000,"High",Table1[[#This Row],[Total Revenue]]&gt;=500,"Medium",Table1[[#This Row],[Total Revenue]]&lt;500,"Low")</f>
        <v>Medium</v>
      </c>
      <c r="I183" s="1">
        <f>Table1[[#This Row],[Total Revenue]]*VLOOKUP(Table1[[#This Row],[Product ID]],Table2[],5,FALSE)</f>
        <v>61.199999999999996</v>
      </c>
      <c r="J183" s="1" t="str">
        <f>TEXT(Table1[[#This Row],[Date]],"mmmm")</f>
        <v>March</v>
      </c>
      <c r="K183" s="1"/>
    </row>
    <row r="184" spans="1:11" x14ac:dyDescent="0.3">
      <c r="A184" s="1">
        <v>1198</v>
      </c>
      <c r="B184" s="3">
        <v>45747</v>
      </c>
      <c r="C184" s="1" t="s">
        <v>7</v>
      </c>
      <c r="D184" s="1" t="s">
        <v>16</v>
      </c>
      <c r="E184" s="1">
        <v>5</v>
      </c>
      <c r="F184" s="8">
        <f>_xlfn.XLOOKUP(Table1[[#This Row],[Product ID]],Table2[Product ID],Table2[Unit Price])</f>
        <v>20</v>
      </c>
      <c r="G184" s="1">
        <f>Table1[[#This Row],[Units Sold]]*Table1[[#This Row],[Unit Price]]</f>
        <v>100</v>
      </c>
      <c r="H184" s="1" t="str" cm="1">
        <f t="array" ref="H184">_xlfn.IFS(Table1[[#This Row],[Total Revenue]]&gt;1000,"High",Table1[[#This Row],[Total Revenue]]&gt;=500,"Medium",Table1[[#This Row],[Total Revenue]]&lt;500,"Low")</f>
        <v>Low</v>
      </c>
      <c r="I184" s="1">
        <f>Table1[[#This Row],[Total Revenue]]*VLOOKUP(Table1[[#This Row],[Product ID]],Table2[],5,FALSE)</f>
        <v>8</v>
      </c>
      <c r="J184" s="1" t="str">
        <f>TEXT(Table1[[#This Row],[Date]],"mmmm")</f>
        <v>March</v>
      </c>
      <c r="K184" s="1"/>
    </row>
    <row r="185" spans="1:11" x14ac:dyDescent="0.3">
      <c r="A185" s="1">
        <v>1199</v>
      </c>
      <c r="B185" s="3">
        <v>45747</v>
      </c>
      <c r="C185" s="1" t="s">
        <v>9</v>
      </c>
      <c r="D185" s="1" t="s">
        <v>12</v>
      </c>
      <c r="E185" s="1">
        <v>4</v>
      </c>
      <c r="F185" s="8">
        <f>_xlfn.XLOOKUP(Table1[[#This Row],[Product ID]],Table2[Product ID],Table2[Unit Price])</f>
        <v>35</v>
      </c>
      <c r="G185" s="1">
        <f>Table1[[#This Row],[Units Sold]]*Table1[[#This Row],[Unit Price]]</f>
        <v>140</v>
      </c>
      <c r="H185" s="1" t="str" cm="1">
        <f t="array" ref="H185">_xlfn.IFS(Table1[[#This Row],[Total Revenue]]&gt;1000,"High",Table1[[#This Row],[Total Revenue]]&gt;=500,"Medium",Table1[[#This Row],[Total Revenue]]&lt;500,"Low")</f>
        <v>Low</v>
      </c>
      <c r="I185" s="1">
        <f>Table1[[#This Row],[Total Revenue]]*VLOOKUP(Table1[[#This Row],[Product ID]],Table2[],5,FALSE)</f>
        <v>14</v>
      </c>
      <c r="J185" s="1" t="str">
        <f>TEXT(Table1[[#This Row],[Date]],"mmmm")</f>
        <v>March</v>
      </c>
      <c r="K185" s="1"/>
    </row>
    <row r="186" spans="1:11" x14ac:dyDescent="0.3">
      <c r="A186" s="1">
        <v>1200</v>
      </c>
      <c r="B186" s="3">
        <v>45747</v>
      </c>
      <c r="C186" s="1" t="s">
        <v>11</v>
      </c>
      <c r="D186" s="1" t="s">
        <v>6</v>
      </c>
      <c r="E186" s="1">
        <v>8</v>
      </c>
      <c r="F186" s="8">
        <v>120</v>
      </c>
      <c r="G186" s="1">
        <f>Table1[[#This Row],[Units Sold]]*Table1[[#This Row],[Unit Price]]</f>
        <v>960</v>
      </c>
      <c r="H186" s="1" t="str" cm="1">
        <f t="array" ref="H186">_xlfn.IFS(Table1[[#This Row],[Total Revenue]]&gt;1000,"High",Table1[[#This Row],[Total Revenue]]&gt;=500,"Medium",Table1[[#This Row],[Total Revenue]]&lt;500,"Low")</f>
        <v>Medium</v>
      </c>
      <c r="I186" s="1">
        <f>Table1[[#This Row],[Total Revenue]]*VLOOKUP(Table1[[#This Row],[Product ID]],Table2[],5,FALSE)</f>
        <v>144</v>
      </c>
      <c r="J186" s="1" t="str">
        <f>TEXT(Table1[[#This Row],[Date]],"mmmm")</f>
        <v>March</v>
      </c>
      <c r="K186" s="1"/>
    </row>
  </sheetData>
  <mergeCells count="3">
    <mergeCell ref="L1:P1"/>
    <mergeCell ref="R1:S1"/>
    <mergeCell ref="A1:J1"/>
  </mergeCells>
  <pageMargins left="0.7" right="0.7" top="0.75" bottom="0.75" header="0.3" footer="0.3"/>
  <tableParts count="3">
    <tablePart r:id="rId1"/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0E2C4-CBB3-4FD7-8FDD-2053B3EC92BD}">
  <dimension ref="A1:AB480"/>
  <sheetViews>
    <sheetView tabSelected="1" zoomScaleNormal="100" workbookViewId="0">
      <selection activeCell="D22" sqref="D22"/>
    </sheetView>
  </sheetViews>
  <sheetFormatPr defaultRowHeight="14.4" x14ac:dyDescent="0.3"/>
  <cols>
    <col min="1" max="1" width="17.109375" customWidth="1"/>
    <col min="2" max="2" width="15.5546875" customWidth="1"/>
    <col min="4" max="4" width="16" customWidth="1"/>
    <col min="5" max="5" width="12.109375" bestFit="1" customWidth="1"/>
    <col min="6" max="6" width="11.88671875" customWidth="1"/>
    <col min="8" max="8" width="16.21875" customWidth="1"/>
    <col min="28" max="28" width="8.88671875" style="5"/>
  </cols>
  <sheetData>
    <row r="1" spans="1:28" x14ac:dyDescent="0.3">
      <c r="AA1" s="7" t="s">
        <v>45</v>
      </c>
      <c r="AB1" s="16" t="str" cm="1">
        <f t="array" ref="AB1:AB6">_xlfn.UNIQUE(TEXT(_xlfn._xlws.SORT(Table1[Date]),"mmmm"))</f>
        <v>October</v>
      </c>
    </row>
    <row r="2" spans="1:28" x14ac:dyDescent="0.3">
      <c r="A2" s="14" t="s">
        <v>43</v>
      </c>
      <c r="B2" s="14" t="s">
        <v>44</v>
      </c>
      <c r="AA2" s="7" t="s">
        <v>46</v>
      </c>
      <c r="AB2" s="16" t="str">
        <v>November</v>
      </c>
    </row>
    <row r="3" spans="1:28" ht="18" x14ac:dyDescent="0.35">
      <c r="A3" s="15" t="s">
        <v>36</v>
      </c>
      <c r="B3" s="15" t="s">
        <v>57</v>
      </c>
      <c r="C3" s="5">
        <f>MONTH(B3&amp;1)</f>
        <v>12</v>
      </c>
      <c r="AA3" s="7" t="s">
        <v>47</v>
      </c>
      <c r="AB3" s="16" t="str">
        <v>December</v>
      </c>
    </row>
    <row r="4" spans="1:28" x14ac:dyDescent="0.3">
      <c r="AA4" s="7" t="s">
        <v>48</v>
      </c>
      <c r="AB4" s="16" t="str">
        <v>January</v>
      </c>
    </row>
    <row r="5" spans="1:28" ht="21" customHeight="1" x14ac:dyDescent="0.3">
      <c r="A5" s="20" t="str">
        <f>_xlfn.CONCAT("Summary for ",A3," during ",B3)</f>
        <v>Summary for Ben during December</v>
      </c>
      <c r="B5" s="20"/>
      <c r="D5" s="20" t="s">
        <v>65</v>
      </c>
      <c r="E5" s="20"/>
      <c r="F5" s="20"/>
      <c r="Z5" s="7" t="s">
        <v>49</v>
      </c>
      <c r="AA5" s="7" t="s">
        <v>49</v>
      </c>
      <c r="AB5" s="16" t="str">
        <v>February</v>
      </c>
    </row>
    <row r="6" spans="1:28" ht="28.8" x14ac:dyDescent="0.3">
      <c r="A6" s="13" t="s">
        <v>58</v>
      </c>
      <c r="B6" s="9" cm="1">
        <f t="array" ref="B6">SUMPRODUCT((Table1[Sales Rep ID]=_xlfn.XLOOKUP(Dashboard!A3,Table3[Rep Name],Table3[Sales Rep ID]))*
(MONTH(Table1[Date])=MONTH(Dashboard!B3&amp;1))*
(Table1[Total Revenue]))</f>
        <v>8835</v>
      </c>
      <c r="D6" s="11" t="s">
        <v>18</v>
      </c>
      <c r="E6" s="11" t="s">
        <v>42</v>
      </c>
      <c r="F6" s="12" t="s">
        <v>64</v>
      </c>
      <c r="H6" s="5" t="s">
        <v>68</v>
      </c>
      <c r="I6" s="5" t="s">
        <v>69</v>
      </c>
      <c r="J6" s="5" t="s">
        <v>67</v>
      </c>
      <c r="K6" s="5" t="s">
        <v>66</v>
      </c>
      <c r="Z6" s="7" t="s">
        <v>50</v>
      </c>
      <c r="AA6" s="7" t="s">
        <v>50</v>
      </c>
      <c r="AB6" s="16" t="str">
        <v>March</v>
      </c>
    </row>
    <row r="7" spans="1:28" x14ac:dyDescent="0.3">
      <c r="A7" s="11" t="s">
        <v>59</v>
      </c>
      <c r="B7" s="10" cm="1">
        <f t="array" ref="B7">SUMPRODUCT((Table1[Sales Rep ID]=_xlfn.XLOOKUP(Dashboard!A3,Table3[Rep Name],Table3[Sales Rep ID]))*
(MONTH(Table1[Date])=MONTH(Dashboard!B3&amp;1)))</f>
        <v>11</v>
      </c>
      <c r="D7" t="str" cm="1">
        <f t="array" ref="D7:F17">_xlfn._xlws.FILTER(_xlfn.HSTACK(_xlfn.XLOOKUP(Table1[Product ID],Table2[Product ID],Table2[Product Name]),Table1[Total Revenue],Table1[Commission Amount]),
(Table1[Sales Rep ID]=_xlfn.XLOOKUP(Dashboard!A3,Table3[Rep Name],Table3[Sales Rep ID]))*
(MONTH(Table1[Date])=MONTH(Dashboard!B3&amp;1)))</f>
        <v>Pro Glide</v>
      </c>
      <c r="E7" s="9">
        <v>900</v>
      </c>
      <c r="F7" s="9">
        <v>162</v>
      </c>
      <c r="H7" s="5" t="s">
        <v>70</v>
      </c>
      <c r="I7" s="5" cm="1">
        <f t="array" ref="I7">SUMPRODUCT((Table1[Sales Rep ID]=_xlfn.XLOOKUP(Dashboard!A3,Table3[Rep Name],Table3[Sales Rep ID]))*
(MONTH(Table1[Date])=MONTH(Dashboard!B3&amp;1))*
(Table1[Commission Tier]="High"))</f>
        <v>4</v>
      </c>
      <c r="J7" s="5" cm="1">
        <f t="array" ref="J7">SUMPRODUCT((Table1[Sales Rep ID]=_xlfn.XLOOKUP(Dashboard!A3,Table3[Rep Name],Table3[Sales Rep ID]))*
(MONTH(Table1[Date])=MONTH(Dashboard!B3&amp;1))*
(Table1[Commission Tier]="Medium"))</f>
        <v>2</v>
      </c>
      <c r="K7" s="5" cm="1">
        <f t="array" ref="K7">SUMPRODUCT((Table1[Sales Rep ID]=_xlfn.XLOOKUP(Dashboard!A3,Table3[Rep Name],Table3[Sales Rep ID]))*
(MONTH(Table1[Date])=MONTH(Dashboard!B3&amp;1))*
(Table1[Commission Tier]="Low"))</f>
        <v>5</v>
      </c>
      <c r="Z7" s="7" t="s">
        <v>51</v>
      </c>
      <c r="AA7" s="7" t="s">
        <v>51</v>
      </c>
    </row>
    <row r="8" spans="1:28" ht="28.8" x14ac:dyDescent="0.3">
      <c r="A8" s="12" t="s">
        <v>60</v>
      </c>
      <c r="B8" s="9">
        <f>B6/B7</f>
        <v>803.18181818181813</v>
      </c>
      <c r="D8" t="str">
        <v>Street Flex</v>
      </c>
      <c r="E8" s="9">
        <v>300</v>
      </c>
      <c r="F8" s="9">
        <v>45</v>
      </c>
      <c r="Z8" s="7" t="s">
        <v>52</v>
      </c>
      <c r="AA8" s="7" t="s">
        <v>52</v>
      </c>
    </row>
    <row r="9" spans="1:28" ht="43.2" x14ac:dyDescent="0.3">
      <c r="A9" s="12" t="s">
        <v>61</v>
      </c>
      <c r="B9" cm="1">
        <f t="array" ref="B9">SUMPRODUCT((Table1[Sales Rep ID]=_xlfn.XLOOKUP(Dashboard!A3,Table3[Rep Name],Table3[Sales Rep ID]))*
(MONTH(Table1[Date])=MONTH(Dashboard!B3&amp;1))*
(Table1[Commission Tier]="High"))</f>
        <v>4</v>
      </c>
      <c r="D9" t="str">
        <v>Water Bottle</v>
      </c>
      <c r="E9" s="9">
        <v>100</v>
      </c>
      <c r="F9" s="9">
        <v>8</v>
      </c>
      <c r="Z9" s="7" t="s">
        <v>53</v>
      </c>
      <c r="AA9" s="7" t="s">
        <v>53</v>
      </c>
    </row>
    <row r="10" spans="1:28" x14ac:dyDescent="0.3">
      <c r="D10" t="str">
        <v>Street Flex</v>
      </c>
      <c r="E10" s="9">
        <v>600</v>
      </c>
      <c r="F10" s="9">
        <v>90</v>
      </c>
      <c r="AA10" s="7" t="s">
        <v>54</v>
      </c>
    </row>
    <row r="11" spans="1:28" x14ac:dyDescent="0.3">
      <c r="D11" t="str">
        <v>Street Flex</v>
      </c>
      <c r="E11" s="9">
        <v>1800</v>
      </c>
      <c r="F11" s="9">
        <v>270</v>
      </c>
      <c r="AA11" s="7" t="s">
        <v>55</v>
      </c>
    </row>
    <row r="12" spans="1:28" x14ac:dyDescent="0.3">
      <c r="D12" t="str">
        <v>Air Runner</v>
      </c>
      <c r="E12" s="9">
        <v>2160</v>
      </c>
      <c r="F12" s="9">
        <v>324</v>
      </c>
      <c r="AA12" s="7" t="s">
        <v>56</v>
      </c>
    </row>
    <row r="13" spans="1:28" x14ac:dyDescent="0.3">
      <c r="D13" t="str">
        <v>Sport Cap</v>
      </c>
      <c r="E13" s="9">
        <v>100</v>
      </c>
      <c r="F13" s="9">
        <v>8</v>
      </c>
      <c r="AA13" s="7" t="s">
        <v>57</v>
      </c>
    </row>
    <row r="14" spans="1:28" x14ac:dyDescent="0.3">
      <c r="D14" t="str">
        <v>Air Runner</v>
      </c>
      <c r="E14" s="9">
        <v>1200</v>
      </c>
      <c r="F14" s="9">
        <v>180</v>
      </c>
    </row>
    <row r="15" spans="1:28" x14ac:dyDescent="0.3">
      <c r="D15" t="str">
        <v>Training Shorts</v>
      </c>
      <c r="E15" s="9">
        <v>495</v>
      </c>
      <c r="F15" s="9">
        <v>49.5</v>
      </c>
    </row>
    <row r="16" spans="1:28" x14ac:dyDescent="0.3">
      <c r="D16" t="str">
        <v>Water Bottle</v>
      </c>
      <c r="E16" s="9">
        <v>100</v>
      </c>
      <c r="F16" s="9">
        <v>8</v>
      </c>
    </row>
    <row r="17" spans="4:6" x14ac:dyDescent="0.3">
      <c r="D17" t="str">
        <v>Pro Glide</v>
      </c>
      <c r="E17" s="9">
        <v>1080</v>
      </c>
      <c r="F17" s="9">
        <v>194.4</v>
      </c>
    </row>
    <row r="18" spans="4:6" x14ac:dyDescent="0.3">
      <c r="E18" s="9"/>
      <c r="F18" s="9"/>
    </row>
    <row r="19" spans="4:6" x14ac:dyDescent="0.3">
      <c r="E19" s="9"/>
      <c r="F19" s="9"/>
    </row>
    <row r="20" spans="4:6" x14ac:dyDescent="0.3">
      <c r="E20" s="9"/>
      <c r="F20" s="9"/>
    </row>
    <row r="21" spans="4:6" x14ac:dyDescent="0.3">
      <c r="E21" s="9"/>
      <c r="F21" s="9"/>
    </row>
    <row r="22" spans="4:6" x14ac:dyDescent="0.3">
      <c r="E22" s="9"/>
      <c r="F22" s="9"/>
    </row>
    <row r="23" spans="4:6" x14ac:dyDescent="0.3">
      <c r="E23" s="9"/>
      <c r="F23" s="9"/>
    </row>
    <row r="24" spans="4:6" x14ac:dyDescent="0.3">
      <c r="E24" s="9"/>
      <c r="F24" s="9"/>
    </row>
    <row r="25" spans="4:6" x14ac:dyDescent="0.3">
      <c r="E25" s="9"/>
      <c r="F25" s="9"/>
    </row>
    <row r="26" spans="4:6" x14ac:dyDescent="0.3">
      <c r="E26" s="9"/>
      <c r="F26" s="9"/>
    </row>
    <row r="27" spans="4:6" x14ac:dyDescent="0.3">
      <c r="E27" s="9"/>
      <c r="F27" s="9"/>
    </row>
    <row r="28" spans="4:6" x14ac:dyDescent="0.3">
      <c r="E28" s="9"/>
      <c r="F28" s="9"/>
    </row>
    <row r="29" spans="4:6" x14ac:dyDescent="0.3">
      <c r="E29" s="9"/>
      <c r="F29" s="9"/>
    </row>
    <row r="30" spans="4:6" x14ac:dyDescent="0.3">
      <c r="E30" s="9"/>
      <c r="F30" s="9"/>
    </row>
    <row r="31" spans="4:6" x14ac:dyDescent="0.3">
      <c r="E31" s="9"/>
      <c r="F31" s="9"/>
    </row>
    <row r="32" spans="4:6" x14ac:dyDescent="0.3">
      <c r="E32" s="9"/>
      <c r="F32" s="9"/>
    </row>
    <row r="33" spans="5:6" x14ac:dyDescent="0.3">
      <c r="E33" s="9"/>
      <c r="F33" s="9"/>
    </row>
    <row r="34" spans="5:6" x14ac:dyDescent="0.3">
      <c r="E34" s="9"/>
      <c r="F34" s="9"/>
    </row>
    <row r="35" spans="5:6" x14ac:dyDescent="0.3">
      <c r="E35" s="9"/>
      <c r="F35" s="9"/>
    </row>
    <row r="36" spans="5:6" x14ac:dyDescent="0.3">
      <c r="E36" s="9"/>
      <c r="F36" s="9"/>
    </row>
    <row r="37" spans="5:6" x14ac:dyDescent="0.3">
      <c r="E37" s="9"/>
      <c r="F37" s="9"/>
    </row>
    <row r="38" spans="5:6" x14ac:dyDescent="0.3">
      <c r="E38" s="9"/>
      <c r="F38" s="9"/>
    </row>
    <row r="39" spans="5:6" x14ac:dyDescent="0.3">
      <c r="E39" s="9"/>
      <c r="F39" s="9"/>
    </row>
    <row r="40" spans="5:6" x14ac:dyDescent="0.3">
      <c r="E40" s="9"/>
      <c r="F40" s="9"/>
    </row>
    <row r="41" spans="5:6" x14ac:dyDescent="0.3">
      <c r="E41" s="9"/>
      <c r="F41" s="9"/>
    </row>
    <row r="42" spans="5:6" x14ac:dyDescent="0.3">
      <c r="E42" s="9"/>
      <c r="F42" s="9"/>
    </row>
    <row r="43" spans="5:6" x14ac:dyDescent="0.3">
      <c r="E43" s="9"/>
      <c r="F43" s="9"/>
    </row>
    <row r="44" spans="5:6" x14ac:dyDescent="0.3">
      <c r="E44" s="9"/>
      <c r="F44" s="9"/>
    </row>
    <row r="45" spans="5:6" x14ac:dyDescent="0.3">
      <c r="E45" s="9"/>
      <c r="F45" s="9"/>
    </row>
    <row r="46" spans="5:6" x14ac:dyDescent="0.3">
      <c r="E46" s="9"/>
      <c r="F46" s="9"/>
    </row>
    <row r="47" spans="5:6" x14ac:dyDescent="0.3">
      <c r="E47" s="9"/>
      <c r="F47" s="9"/>
    </row>
    <row r="48" spans="5:6" x14ac:dyDescent="0.3">
      <c r="E48" s="9"/>
      <c r="F48" s="9"/>
    </row>
    <row r="49" spans="5:6" x14ac:dyDescent="0.3">
      <c r="E49" s="9"/>
      <c r="F49" s="9"/>
    </row>
    <row r="50" spans="5:6" x14ac:dyDescent="0.3">
      <c r="E50" s="9"/>
      <c r="F50" s="9"/>
    </row>
    <row r="51" spans="5:6" x14ac:dyDescent="0.3">
      <c r="E51" s="9"/>
      <c r="F51" s="9"/>
    </row>
    <row r="52" spans="5:6" x14ac:dyDescent="0.3">
      <c r="E52" s="9"/>
      <c r="F52" s="9"/>
    </row>
    <row r="53" spans="5:6" x14ac:dyDescent="0.3">
      <c r="E53" s="9"/>
      <c r="F53" s="9"/>
    </row>
    <row r="54" spans="5:6" x14ac:dyDescent="0.3">
      <c r="E54" s="9"/>
      <c r="F54" s="9"/>
    </row>
    <row r="55" spans="5:6" x14ac:dyDescent="0.3">
      <c r="E55" s="9"/>
      <c r="F55" s="9"/>
    </row>
    <row r="56" spans="5:6" x14ac:dyDescent="0.3">
      <c r="E56" s="9"/>
      <c r="F56" s="9"/>
    </row>
    <row r="57" spans="5:6" x14ac:dyDescent="0.3">
      <c r="E57" s="9"/>
      <c r="F57" s="9"/>
    </row>
    <row r="58" spans="5:6" x14ac:dyDescent="0.3">
      <c r="E58" s="9"/>
      <c r="F58" s="9"/>
    </row>
    <row r="59" spans="5:6" x14ac:dyDescent="0.3">
      <c r="E59" s="9"/>
      <c r="F59" s="9"/>
    </row>
    <row r="60" spans="5:6" x14ac:dyDescent="0.3">
      <c r="E60" s="9"/>
      <c r="F60" s="9"/>
    </row>
    <row r="61" spans="5:6" x14ac:dyDescent="0.3">
      <c r="E61" s="9"/>
      <c r="F61" s="9"/>
    </row>
    <row r="62" spans="5:6" x14ac:dyDescent="0.3">
      <c r="E62" s="9"/>
      <c r="F62" s="9"/>
    </row>
    <row r="63" spans="5:6" x14ac:dyDescent="0.3">
      <c r="E63" s="9"/>
      <c r="F63" s="9"/>
    </row>
    <row r="64" spans="5:6" x14ac:dyDescent="0.3">
      <c r="E64" s="9"/>
      <c r="F64" s="9"/>
    </row>
    <row r="65" spans="5:6" x14ac:dyDescent="0.3">
      <c r="E65" s="9"/>
      <c r="F65" s="9"/>
    </row>
    <row r="66" spans="5:6" x14ac:dyDescent="0.3">
      <c r="E66" s="9"/>
      <c r="F66" s="9"/>
    </row>
    <row r="67" spans="5:6" x14ac:dyDescent="0.3">
      <c r="E67" s="9"/>
      <c r="F67" s="9"/>
    </row>
    <row r="68" spans="5:6" x14ac:dyDescent="0.3">
      <c r="E68" s="9"/>
      <c r="F68" s="9"/>
    </row>
    <row r="69" spans="5:6" x14ac:dyDescent="0.3">
      <c r="E69" s="9"/>
      <c r="F69" s="9"/>
    </row>
    <row r="70" spans="5:6" x14ac:dyDescent="0.3">
      <c r="E70" s="9"/>
      <c r="F70" s="9"/>
    </row>
    <row r="71" spans="5:6" x14ac:dyDescent="0.3">
      <c r="E71" s="9"/>
      <c r="F71" s="9"/>
    </row>
    <row r="72" spans="5:6" x14ac:dyDescent="0.3">
      <c r="E72" s="9"/>
      <c r="F72" s="9"/>
    </row>
    <row r="73" spans="5:6" x14ac:dyDescent="0.3">
      <c r="E73" s="9"/>
      <c r="F73" s="9"/>
    </row>
    <row r="74" spans="5:6" x14ac:dyDescent="0.3">
      <c r="E74" s="9"/>
      <c r="F74" s="9"/>
    </row>
    <row r="75" spans="5:6" x14ac:dyDescent="0.3">
      <c r="E75" s="9"/>
      <c r="F75" s="9"/>
    </row>
    <row r="76" spans="5:6" x14ac:dyDescent="0.3">
      <c r="E76" s="9"/>
      <c r="F76" s="9"/>
    </row>
    <row r="77" spans="5:6" x14ac:dyDescent="0.3">
      <c r="E77" s="9"/>
      <c r="F77" s="9"/>
    </row>
    <row r="78" spans="5:6" x14ac:dyDescent="0.3">
      <c r="E78" s="9"/>
      <c r="F78" s="9"/>
    </row>
    <row r="79" spans="5:6" x14ac:dyDescent="0.3">
      <c r="E79" s="9"/>
      <c r="F79" s="9"/>
    </row>
    <row r="80" spans="5:6" x14ac:dyDescent="0.3">
      <c r="E80" s="9"/>
      <c r="F80" s="9"/>
    </row>
    <row r="81" spans="5:6" x14ac:dyDescent="0.3">
      <c r="E81" s="9"/>
      <c r="F81" s="9"/>
    </row>
    <row r="82" spans="5:6" x14ac:dyDescent="0.3">
      <c r="E82" s="9"/>
      <c r="F82" s="9"/>
    </row>
    <row r="83" spans="5:6" x14ac:dyDescent="0.3">
      <c r="E83" s="9"/>
      <c r="F83" s="9"/>
    </row>
    <row r="84" spans="5:6" x14ac:dyDescent="0.3">
      <c r="E84" s="9"/>
      <c r="F84" s="9"/>
    </row>
    <row r="85" spans="5:6" x14ac:dyDescent="0.3">
      <c r="E85" s="9"/>
      <c r="F85" s="9"/>
    </row>
    <row r="86" spans="5:6" x14ac:dyDescent="0.3">
      <c r="E86" s="9"/>
      <c r="F86" s="9"/>
    </row>
    <row r="87" spans="5:6" x14ac:dyDescent="0.3">
      <c r="E87" s="9"/>
      <c r="F87" s="9"/>
    </row>
    <row r="88" spans="5:6" x14ac:dyDescent="0.3">
      <c r="E88" s="9"/>
      <c r="F88" s="9"/>
    </row>
    <row r="89" spans="5:6" x14ac:dyDescent="0.3">
      <c r="E89" s="9"/>
      <c r="F89" s="9"/>
    </row>
    <row r="90" spans="5:6" x14ac:dyDescent="0.3">
      <c r="E90" s="9"/>
      <c r="F90" s="9"/>
    </row>
    <row r="91" spans="5:6" x14ac:dyDescent="0.3">
      <c r="E91" s="9"/>
      <c r="F91" s="9"/>
    </row>
    <row r="92" spans="5:6" x14ac:dyDescent="0.3">
      <c r="E92" s="9"/>
      <c r="F92" s="9"/>
    </row>
    <row r="93" spans="5:6" x14ac:dyDescent="0.3">
      <c r="E93" s="9"/>
      <c r="F93" s="9"/>
    </row>
    <row r="94" spans="5:6" x14ac:dyDescent="0.3">
      <c r="E94" s="9"/>
      <c r="F94" s="9"/>
    </row>
    <row r="95" spans="5:6" x14ac:dyDescent="0.3">
      <c r="E95" s="9"/>
      <c r="F95" s="9"/>
    </row>
    <row r="96" spans="5:6" x14ac:dyDescent="0.3">
      <c r="E96" s="9"/>
      <c r="F96" s="9"/>
    </row>
    <row r="97" spans="5:6" x14ac:dyDescent="0.3">
      <c r="E97" s="9"/>
      <c r="F97" s="9"/>
    </row>
    <row r="98" spans="5:6" x14ac:dyDescent="0.3">
      <c r="E98" s="9"/>
      <c r="F98" s="9"/>
    </row>
    <row r="99" spans="5:6" x14ac:dyDescent="0.3">
      <c r="E99" s="9"/>
      <c r="F99" s="9"/>
    </row>
    <row r="100" spans="5:6" x14ac:dyDescent="0.3">
      <c r="E100" s="9"/>
      <c r="F100" s="9"/>
    </row>
    <row r="101" spans="5:6" x14ac:dyDescent="0.3">
      <c r="E101" s="9"/>
      <c r="F101" s="9"/>
    </row>
    <row r="102" spans="5:6" x14ac:dyDescent="0.3">
      <c r="E102" s="9"/>
      <c r="F102" s="9"/>
    </row>
    <row r="103" spans="5:6" x14ac:dyDescent="0.3">
      <c r="E103" s="9"/>
      <c r="F103" s="9"/>
    </row>
    <row r="104" spans="5:6" x14ac:dyDescent="0.3">
      <c r="E104" s="9"/>
      <c r="F104" s="9"/>
    </row>
    <row r="105" spans="5:6" x14ac:dyDescent="0.3">
      <c r="E105" s="9"/>
      <c r="F105" s="9"/>
    </row>
    <row r="106" spans="5:6" x14ac:dyDescent="0.3">
      <c r="E106" s="9"/>
      <c r="F106" s="9"/>
    </row>
    <row r="107" spans="5:6" x14ac:dyDescent="0.3">
      <c r="E107" s="9"/>
      <c r="F107" s="9"/>
    </row>
    <row r="108" spans="5:6" x14ac:dyDescent="0.3">
      <c r="E108" s="9"/>
      <c r="F108" s="9"/>
    </row>
    <row r="109" spans="5:6" x14ac:dyDescent="0.3">
      <c r="E109" s="9"/>
      <c r="F109" s="9"/>
    </row>
    <row r="110" spans="5:6" x14ac:dyDescent="0.3">
      <c r="E110" s="9"/>
      <c r="F110" s="9"/>
    </row>
    <row r="111" spans="5:6" x14ac:dyDescent="0.3">
      <c r="E111" s="9"/>
      <c r="F111" s="9"/>
    </row>
    <row r="112" spans="5:6" x14ac:dyDescent="0.3">
      <c r="E112" s="9"/>
      <c r="F112" s="9"/>
    </row>
    <row r="113" spans="5:6" x14ac:dyDescent="0.3">
      <c r="E113" s="9"/>
      <c r="F113" s="9"/>
    </row>
    <row r="114" spans="5:6" x14ac:dyDescent="0.3">
      <c r="E114" s="9"/>
      <c r="F114" s="9"/>
    </row>
    <row r="115" spans="5:6" x14ac:dyDescent="0.3">
      <c r="E115" s="9"/>
      <c r="F115" s="9"/>
    </row>
    <row r="116" spans="5:6" x14ac:dyDescent="0.3">
      <c r="E116" s="9"/>
      <c r="F116" s="9"/>
    </row>
    <row r="117" spans="5:6" x14ac:dyDescent="0.3">
      <c r="E117" s="9"/>
      <c r="F117" s="9"/>
    </row>
    <row r="118" spans="5:6" x14ac:dyDescent="0.3">
      <c r="E118" s="9"/>
      <c r="F118" s="9"/>
    </row>
    <row r="119" spans="5:6" x14ac:dyDescent="0.3">
      <c r="E119" s="9"/>
      <c r="F119" s="9"/>
    </row>
    <row r="120" spans="5:6" x14ac:dyDescent="0.3">
      <c r="E120" s="9"/>
      <c r="F120" s="9"/>
    </row>
    <row r="121" spans="5:6" x14ac:dyDescent="0.3">
      <c r="E121" s="9"/>
      <c r="F121" s="9"/>
    </row>
    <row r="122" spans="5:6" x14ac:dyDescent="0.3">
      <c r="E122" s="9"/>
      <c r="F122" s="9"/>
    </row>
    <row r="123" spans="5:6" x14ac:dyDescent="0.3">
      <c r="E123" s="9"/>
      <c r="F123" s="9"/>
    </row>
    <row r="124" spans="5:6" x14ac:dyDescent="0.3">
      <c r="E124" s="9"/>
      <c r="F124" s="9"/>
    </row>
    <row r="125" spans="5:6" x14ac:dyDescent="0.3">
      <c r="E125" s="9"/>
      <c r="F125" s="9"/>
    </row>
    <row r="126" spans="5:6" x14ac:dyDescent="0.3">
      <c r="E126" s="9"/>
      <c r="F126" s="9"/>
    </row>
    <row r="127" spans="5:6" x14ac:dyDescent="0.3">
      <c r="E127" s="9"/>
      <c r="F127" s="9"/>
    </row>
    <row r="128" spans="5:6" x14ac:dyDescent="0.3">
      <c r="E128" s="9"/>
      <c r="F128" s="9"/>
    </row>
    <row r="129" spans="5:6" x14ac:dyDescent="0.3">
      <c r="E129" s="9"/>
      <c r="F129" s="9"/>
    </row>
    <row r="130" spans="5:6" x14ac:dyDescent="0.3">
      <c r="E130" s="9"/>
      <c r="F130" s="9"/>
    </row>
    <row r="131" spans="5:6" x14ac:dyDescent="0.3">
      <c r="E131" s="9"/>
      <c r="F131" s="9"/>
    </row>
    <row r="132" spans="5:6" x14ac:dyDescent="0.3">
      <c r="E132" s="9"/>
      <c r="F132" s="9"/>
    </row>
    <row r="133" spans="5:6" x14ac:dyDescent="0.3">
      <c r="E133" s="9"/>
      <c r="F133" s="9"/>
    </row>
    <row r="134" spans="5:6" x14ac:dyDescent="0.3">
      <c r="E134" s="9"/>
      <c r="F134" s="9"/>
    </row>
    <row r="135" spans="5:6" x14ac:dyDescent="0.3">
      <c r="E135" s="9"/>
      <c r="F135" s="9"/>
    </row>
    <row r="136" spans="5:6" x14ac:dyDescent="0.3">
      <c r="E136" s="9"/>
      <c r="F136" s="9"/>
    </row>
    <row r="137" spans="5:6" x14ac:dyDescent="0.3">
      <c r="E137" s="9"/>
      <c r="F137" s="9"/>
    </row>
    <row r="138" spans="5:6" x14ac:dyDescent="0.3">
      <c r="E138" s="9"/>
      <c r="F138" s="9"/>
    </row>
    <row r="139" spans="5:6" x14ac:dyDescent="0.3">
      <c r="E139" s="9"/>
      <c r="F139" s="9"/>
    </row>
    <row r="140" spans="5:6" x14ac:dyDescent="0.3">
      <c r="E140" s="9"/>
      <c r="F140" s="9"/>
    </row>
    <row r="141" spans="5:6" x14ac:dyDescent="0.3">
      <c r="E141" s="9"/>
      <c r="F141" s="9"/>
    </row>
    <row r="142" spans="5:6" x14ac:dyDescent="0.3">
      <c r="E142" s="9"/>
      <c r="F142" s="9"/>
    </row>
    <row r="143" spans="5:6" x14ac:dyDescent="0.3">
      <c r="E143" s="9"/>
      <c r="F143" s="9"/>
    </row>
    <row r="144" spans="5:6" x14ac:dyDescent="0.3">
      <c r="E144" s="9"/>
      <c r="F144" s="9"/>
    </row>
    <row r="145" spans="5:6" x14ac:dyDescent="0.3">
      <c r="E145" s="9"/>
      <c r="F145" s="9"/>
    </row>
    <row r="146" spans="5:6" x14ac:dyDescent="0.3">
      <c r="E146" s="9"/>
      <c r="F146" s="9"/>
    </row>
    <row r="147" spans="5:6" x14ac:dyDescent="0.3">
      <c r="E147" s="9"/>
      <c r="F147" s="9"/>
    </row>
    <row r="148" spans="5:6" x14ac:dyDescent="0.3">
      <c r="E148" s="9"/>
      <c r="F148" s="9"/>
    </row>
    <row r="149" spans="5:6" x14ac:dyDescent="0.3">
      <c r="E149" s="9"/>
      <c r="F149" s="9"/>
    </row>
    <row r="150" spans="5:6" x14ac:dyDescent="0.3">
      <c r="E150" s="9"/>
      <c r="F150" s="9"/>
    </row>
    <row r="151" spans="5:6" x14ac:dyDescent="0.3">
      <c r="E151" s="9"/>
      <c r="F151" s="9"/>
    </row>
    <row r="152" spans="5:6" x14ac:dyDescent="0.3">
      <c r="E152" s="9"/>
      <c r="F152" s="9"/>
    </row>
    <row r="153" spans="5:6" x14ac:dyDescent="0.3">
      <c r="E153" s="9"/>
      <c r="F153" s="9"/>
    </row>
    <row r="154" spans="5:6" x14ac:dyDescent="0.3">
      <c r="E154" s="9"/>
      <c r="F154" s="9"/>
    </row>
    <row r="155" spans="5:6" x14ac:dyDescent="0.3">
      <c r="E155" s="9"/>
      <c r="F155" s="9"/>
    </row>
    <row r="156" spans="5:6" x14ac:dyDescent="0.3">
      <c r="E156" s="9"/>
      <c r="F156" s="9"/>
    </row>
    <row r="157" spans="5:6" x14ac:dyDescent="0.3">
      <c r="E157" s="9"/>
      <c r="F157" s="9"/>
    </row>
    <row r="158" spans="5:6" x14ac:dyDescent="0.3">
      <c r="E158" s="9"/>
      <c r="F158" s="9"/>
    </row>
    <row r="159" spans="5:6" x14ac:dyDescent="0.3">
      <c r="E159" s="9"/>
      <c r="F159" s="9"/>
    </row>
    <row r="160" spans="5:6" x14ac:dyDescent="0.3">
      <c r="E160" s="9"/>
      <c r="F160" s="9"/>
    </row>
    <row r="161" spans="5:6" x14ac:dyDescent="0.3">
      <c r="E161" s="9"/>
      <c r="F161" s="9"/>
    </row>
    <row r="162" spans="5:6" x14ac:dyDescent="0.3">
      <c r="E162" s="9"/>
      <c r="F162" s="9"/>
    </row>
    <row r="163" spans="5:6" x14ac:dyDescent="0.3">
      <c r="E163" s="9"/>
      <c r="F163" s="9"/>
    </row>
    <row r="164" spans="5:6" x14ac:dyDescent="0.3">
      <c r="E164" s="9"/>
      <c r="F164" s="9"/>
    </row>
    <row r="165" spans="5:6" x14ac:dyDescent="0.3">
      <c r="E165" s="9"/>
      <c r="F165" s="9"/>
    </row>
    <row r="166" spans="5:6" x14ac:dyDescent="0.3">
      <c r="E166" s="9"/>
      <c r="F166" s="9"/>
    </row>
    <row r="167" spans="5:6" x14ac:dyDescent="0.3">
      <c r="E167" s="9"/>
      <c r="F167" s="9"/>
    </row>
    <row r="168" spans="5:6" x14ac:dyDescent="0.3">
      <c r="E168" s="9"/>
      <c r="F168" s="9"/>
    </row>
    <row r="169" spans="5:6" x14ac:dyDescent="0.3">
      <c r="E169" s="9"/>
      <c r="F169" s="9"/>
    </row>
    <row r="170" spans="5:6" x14ac:dyDescent="0.3">
      <c r="E170" s="9"/>
      <c r="F170" s="9"/>
    </row>
    <row r="171" spans="5:6" x14ac:dyDescent="0.3">
      <c r="E171" s="9"/>
      <c r="F171" s="9"/>
    </row>
    <row r="172" spans="5:6" x14ac:dyDescent="0.3">
      <c r="E172" s="9"/>
      <c r="F172" s="9"/>
    </row>
    <row r="173" spans="5:6" x14ac:dyDescent="0.3">
      <c r="E173" s="9"/>
      <c r="F173" s="9"/>
    </row>
    <row r="174" spans="5:6" x14ac:dyDescent="0.3">
      <c r="E174" s="9"/>
      <c r="F174" s="9"/>
    </row>
    <row r="175" spans="5:6" x14ac:dyDescent="0.3">
      <c r="E175" s="9"/>
      <c r="F175" s="9"/>
    </row>
    <row r="176" spans="5:6" x14ac:dyDescent="0.3">
      <c r="E176" s="9"/>
      <c r="F176" s="9"/>
    </row>
    <row r="177" spans="5:6" x14ac:dyDescent="0.3">
      <c r="E177" s="9"/>
      <c r="F177" s="9"/>
    </row>
    <row r="178" spans="5:6" x14ac:dyDescent="0.3">
      <c r="E178" s="9"/>
      <c r="F178" s="9"/>
    </row>
    <row r="179" spans="5:6" x14ac:dyDescent="0.3">
      <c r="E179" s="9"/>
      <c r="F179" s="9"/>
    </row>
    <row r="180" spans="5:6" x14ac:dyDescent="0.3">
      <c r="E180" s="9"/>
      <c r="F180" s="9"/>
    </row>
    <row r="181" spans="5:6" x14ac:dyDescent="0.3">
      <c r="E181" s="9"/>
      <c r="F181" s="9"/>
    </row>
    <row r="182" spans="5:6" x14ac:dyDescent="0.3">
      <c r="E182" s="9"/>
      <c r="F182" s="9"/>
    </row>
    <row r="183" spans="5:6" x14ac:dyDescent="0.3">
      <c r="E183" s="9"/>
      <c r="F183" s="9"/>
    </row>
    <row r="184" spans="5:6" x14ac:dyDescent="0.3">
      <c r="E184" s="9"/>
      <c r="F184" s="9"/>
    </row>
    <row r="185" spans="5:6" x14ac:dyDescent="0.3">
      <c r="E185" s="9"/>
      <c r="F185" s="9"/>
    </row>
    <row r="186" spans="5:6" x14ac:dyDescent="0.3">
      <c r="E186" s="9"/>
      <c r="F186" s="9"/>
    </row>
    <row r="187" spans="5:6" x14ac:dyDescent="0.3">
      <c r="E187" s="9"/>
      <c r="F187" s="9"/>
    </row>
    <row r="188" spans="5:6" x14ac:dyDescent="0.3">
      <c r="E188" s="9"/>
      <c r="F188" s="9"/>
    </row>
    <row r="189" spans="5:6" x14ac:dyDescent="0.3">
      <c r="E189" s="9"/>
      <c r="F189" s="9"/>
    </row>
    <row r="190" spans="5:6" x14ac:dyDescent="0.3">
      <c r="E190" s="9"/>
      <c r="F190" s="9"/>
    </row>
    <row r="191" spans="5:6" x14ac:dyDescent="0.3">
      <c r="E191" s="9"/>
      <c r="F191" s="9"/>
    </row>
    <row r="192" spans="5:6" x14ac:dyDescent="0.3">
      <c r="E192" s="9"/>
      <c r="F192" s="9"/>
    </row>
    <row r="193" spans="5:6" x14ac:dyDescent="0.3">
      <c r="E193" s="9"/>
      <c r="F193" s="9"/>
    </row>
    <row r="194" spans="5:6" x14ac:dyDescent="0.3">
      <c r="E194" s="9"/>
      <c r="F194" s="9"/>
    </row>
    <row r="195" spans="5:6" x14ac:dyDescent="0.3">
      <c r="E195" s="9"/>
      <c r="F195" s="9"/>
    </row>
    <row r="196" spans="5:6" x14ac:dyDescent="0.3">
      <c r="E196" s="9"/>
      <c r="F196" s="9"/>
    </row>
    <row r="197" spans="5:6" x14ac:dyDescent="0.3">
      <c r="E197" s="9"/>
      <c r="F197" s="9"/>
    </row>
    <row r="198" spans="5:6" x14ac:dyDescent="0.3">
      <c r="E198" s="9"/>
      <c r="F198" s="9"/>
    </row>
    <row r="199" spans="5:6" x14ac:dyDescent="0.3">
      <c r="E199" s="9"/>
      <c r="F199" s="9"/>
    </row>
    <row r="200" spans="5:6" x14ac:dyDescent="0.3">
      <c r="E200" s="9"/>
      <c r="F200" s="9"/>
    </row>
    <row r="201" spans="5:6" x14ac:dyDescent="0.3">
      <c r="E201" s="9"/>
      <c r="F201" s="9"/>
    </row>
    <row r="202" spans="5:6" x14ac:dyDescent="0.3">
      <c r="E202" s="9"/>
      <c r="F202" s="9"/>
    </row>
    <row r="203" spans="5:6" x14ac:dyDescent="0.3">
      <c r="E203" s="9"/>
      <c r="F203" s="9"/>
    </row>
    <row r="204" spans="5:6" x14ac:dyDescent="0.3">
      <c r="E204" s="9"/>
      <c r="F204" s="9"/>
    </row>
    <row r="205" spans="5:6" x14ac:dyDescent="0.3">
      <c r="E205" s="9"/>
      <c r="F205" s="9"/>
    </row>
    <row r="206" spans="5:6" x14ac:dyDescent="0.3">
      <c r="E206" s="9"/>
      <c r="F206" s="9"/>
    </row>
    <row r="207" spans="5:6" x14ac:dyDescent="0.3">
      <c r="E207" s="9"/>
      <c r="F207" s="9"/>
    </row>
    <row r="208" spans="5:6" x14ac:dyDescent="0.3">
      <c r="E208" s="9"/>
      <c r="F208" s="9"/>
    </row>
    <row r="209" spans="5:6" x14ac:dyDescent="0.3">
      <c r="E209" s="9"/>
      <c r="F209" s="9"/>
    </row>
    <row r="210" spans="5:6" x14ac:dyDescent="0.3">
      <c r="E210" s="9"/>
      <c r="F210" s="9"/>
    </row>
    <row r="211" spans="5:6" x14ac:dyDescent="0.3">
      <c r="E211" s="9"/>
      <c r="F211" s="9"/>
    </row>
    <row r="212" spans="5:6" x14ac:dyDescent="0.3">
      <c r="E212" s="9"/>
      <c r="F212" s="9"/>
    </row>
    <row r="213" spans="5:6" x14ac:dyDescent="0.3">
      <c r="E213" s="9"/>
      <c r="F213" s="9"/>
    </row>
    <row r="214" spans="5:6" x14ac:dyDescent="0.3">
      <c r="E214" s="9"/>
      <c r="F214" s="9"/>
    </row>
    <row r="215" spans="5:6" x14ac:dyDescent="0.3">
      <c r="E215" s="9"/>
      <c r="F215" s="9"/>
    </row>
    <row r="216" spans="5:6" x14ac:dyDescent="0.3">
      <c r="E216" s="9"/>
      <c r="F216" s="9"/>
    </row>
    <row r="217" spans="5:6" x14ac:dyDescent="0.3">
      <c r="E217" s="9"/>
      <c r="F217" s="9"/>
    </row>
    <row r="218" spans="5:6" x14ac:dyDescent="0.3">
      <c r="E218" s="9"/>
      <c r="F218" s="9"/>
    </row>
    <row r="219" spans="5:6" x14ac:dyDescent="0.3">
      <c r="E219" s="9"/>
      <c r="F219" s="9"/>
    </row>
    <row r="220" spans="5:6" x14ac:dyDescent="0.3">
      <c r="E220" s="9"/>
      <c r="F220" s="9"/>
    </row>
    <row r="221" spans="5:6" x14ac:dyDescent="0.3">
      <c r="E221" s="9"/>
      <c r="F221" s="9"/>
    </row>
    <row r="222" spans="5:6" x14ac:dyDescent="0.3">
      <c r="E222" s="9"/>
      <c r="F222" s="9"/>
    </row>
    <row r="223" spans="5:6" x14ac:dyDescent="0.3">
      <c r="E223" s="9"/>
      <c r="F223" s="9"/>
    </row>
    <row r="224" spans="5:6" x14ac:dyDescent="0.3">
      <c r="E224" s="9"/>
      <c r="F224" s="9"/>
    </row>
    <row r="225" spans="5:6" x14ac:dyDescent="0.3">
      <c r="E225" s="9"/>
      <c r="F225" s="9"/>
    </row>
    <row r="226" spans="5:6" x14ac:dyDescent="0.3">
      <c r="E226" s="9"/>
      <c r="F226" s="9"/>
    </row>
    <row r="227" spans="5:6" x14ac:dyDescent="0.3">
      <c r="E227" s="9"/>
      <c r="F227" s="9"/>
    </row>
    <row r="228" spans="5:6" x14ac:dyDescent="0.3">
      <c r="E228" s="9"/>
      <c r="F228" s="9"/>
    </row>
    <row r="229" spans="5:6" x14ac:dyDescent="0.3">
      <c r="E229" s="9"/>
      <c r="F229" s="9"/>
    </row>
    <row r="230" spans="5:6" x14ac:dyDescent="0.3">
      <c r="E230" s="9"/>
      <c r="F230" s="9"/>
    </row>
    <row r="231" spans="5:6" x14ac:dyDescent="0.3">
      <c r="E231" s="9"/>
      <c r="F231" s="9"/>
    </row>
    <row r="232" spans="5:6" x14ac:dyDescent="0.3">
      <c r="E232" s="9"/>
      <c r="F232" s="9"/>
    </row>
    <row r="233" spans="5:6" x14ac:dyDescent="0.3">
      <c r="E233" s="9"/>
      <c r="F233" s="9"/>
    </row>
    <row r="234" spans="5:6" x14ac:dyDescent="0.3">
      <c r="E234" s="9"/>
      <c r="F234" s="9"/>
    </row>
    <row r="235" spans="5:6" x14ac:dyDescent="0.3">
      <c r="E235" s="9"/>
      <c r="F235" s="9"/>
    </row>
    <row r="236" spans="5:6" x14ac:dyDescent="0.3">
      <c r="E236" s="9"/>
      <c r="F236" s="9"/>
    </row>
    <row r="237" spans="5:6" x14ac:dyDescent="0.3">
      <c r="E237" s="9"/>
      <c r="F237" s="9"/>
    </row>
    <row r="238" spans="5:6" x14ac:dyDescent="0.3">
      <c r="E238" s="9"/>
      <c r="F238" s="9"/>
    </row>
    <row r="239" spans="5:6" x14ac:dyDescent="0.3">
      <c r="E239" s="9"/>
      <c r="F239" s="9"/>
    </row>
    <row r="240" spans="5:6" x14ac:dyDescent="0.3">
      <c r="E240" s="9"/>
      <c r="F240" s="9"/>
    </row>
    <row r="241" spans="5:6" x14ac:dyDescent="0.3">
      <c r="E241" s="9"/>
      <c r="F241" s="9"/>
    </row>
    <row r="242" spans="5:6" x14ac:dyDescent="0.3">
      <c r="E242" s="9"/>
      <c r="F242" s="9"/>
    </row>
    <row r="243" spans="5:6" x14ac:dyDescent="0.3">
      <c r="E243" s="9"/>
      <c r="F243" s="9"/>
    </row>
    <row r="244" spans="5:6" x14ac:dyDescent="0.3">
      <c r="E244" s="9"/>
      <c r="F244" s="9"/>
    </row>
    <row r="245" spans="5:6" x14ac:dyDescent="0.3">
      <c r="E245" s="9"/>
      <c r="F245" s="9"/>
    </row>
    <row r="246" spans="5:6" x14ac:dyDescent="0.3">
      <c r="E246" s="9"/>
      <c r="F246" s="9"/>
    </row>
    <row r="247" spans="5:6" x14ac:dyDescent="0.3">
      <c r="E247" s="9"/>
      <c r="F247" s="9"/>
    </row>
    <row r="248" spans="5:6" x14ac:dyDescent="0.3">
      <c r="E248" s="9"/>
      <c r="F248" s="9"/>
    </row>
    <row r="249" spans="5:6" x14ac:dyDescent="0.3">
      <c r="E249" s="9"/>
      <c r="F249" s="9"/>
    </row>
    <row r="250" spans="5:6" x14ac:dyDescent="0.3">
      <c r="E250" s="9"/>
      <c r="F250" s="9"/>
    </row>
    <row r="251" spans="5:6" x14ac:dyDescent="0.3">
      <c r="E251" s="9"/>
      <c r="F251" s="9"/>
    </row>
    <row r="252" spans="5:6" x14ac:dyDescent="0.3">
      <c r="E252" s="9"/>
      <c r="F252" s="9"/>
    </row>
    <row r="253" spans="5:6" x14ac:dyDescent="0.3">
      <c r="E253" s="9"/>
      <c r="F253" s="9"/>
    </row>
    <row r="254" spans="5:6" x14ac:dyDescent="0.3">
      <c r="E254" s="9"/>
      <c r="F254" s="9"/>
    </row>
    <row r="255" spans="5:6" x14ac:dyDescent="0.3">
      <c r="E255" s="9"/>
      <c r="F255" s="9"/>
    </row>
    <row r="256" spans="5:6" x14ac:dyDescent="0.3">
      <c r="E256" s="9"/>
      <c r="F256" s="9"/>
    </row>
    <row r="257" spans="5:6" x14ac:dyDescent="0.3">
      <c r="E257" s="9"/>
      <c r="F257" s="9"/>
    </row>
    <row r="258" spans="5:6" x14ac:dyDescent="0.3">
      <c r="E258" s="9"/>
      <c r="F258" s="9"/>
    </row>
    <row r="259" spans="5:6" x14ac:dyDescent="0.3">
      <c r="E259" s="9"/>
      <c r="F259" s="9"/>
    </row>
    <row r="260" spans="5:6" x14ac:dyDescent="0.3">
      <c r="E260" s="9"/>
      <c r="F260" s="9"/>
    </row>
    <row r="261" spans="5:6" x14ac:dyDescent="0.3">
      <c r="E261" s="9"/>
      <c r="F261" s="9"/>
    </row>
    <row r="262" spans="5:6" x14ac:dyDescent="0.3">
      <c r="E262" s="9"/>
      <c r="F262" s="9"/>
    </row>
    <row r="263" spans="5:6" x14ac:dyDescent="0.3">
      <c r="E263" s="9"/>
      <c r="F263" s="9"/>
    </row>
    <row r="264" spans="5:6" x14ac:dyDescent="0.3">
      <c r="E264" s="9"/>
      <c r="F264" s="9"/>
    </row>
    <row r="265" spans="5:6" x14ac:dyDescent="0.3">
      <c r="E265" s="9"/>
      <c r="F265" s="9"/>
    </row>
    <row r="266" spans="5:6" x14ac:dyDescent="0.3">
      <c r="E266" s="9"/>
      <c r="F266" s="9"/>
    </row>
    <row r="267" spans="5:6" x14ac:dyDescent="0.3">
      <c r="E267" s="9"/>
      <c r="F267" s="9"/>
    </row>
    <row r="268" spans="5:6" x14ac:dyDescent="0.3">
      <c r="E268" s="9"/>
      <c r="F268" s="9"/>
    </row>
    <row r="269" spans="5:6" x14ac:dyDescent="0.3">
      <c r="E269" s="9"/>
      <c r="F269" s="9"/>
    </row>
    <row r="270" spans="5:6" x14ac:dyDescent="0.3">
      <c r="E270" s="9"/>
      <c r="F270" s="9"/>
    </row>
    <row r="271" spans="5:6" x14ac:dyDescent="0.3">
      <c r="E271" s="9"/>
      <c r="F271" s="9"/>
    </row>
    <row r="272" spans="5:6" x14ac:dyDescent="0.3">
      <c r="E272" s="9"/>
      <c r="F272" s="9"/>
    </row>
    <row r="273" spans="5:6" x14ac:dyDescent="0.3">
      <c r="E273" s="9"/>
      <c r="F273" s="9"/>
    </row>
    <row r="274" spans="5:6" x14ac:dyDescent="0.3">
      <c r="E274" s="9"/>
      <c r="F274" s="9"/>
    </row>
    <row r="275" spans="5:6" x14ac:dyDescent="0.3">
      <c r="E275" s="9"/>
      <c r="F275" s="9"/>
    </row>
    <row r="276" spans="5:6" x14ac:dyDescent="0.3">
      <c r="E276" s="9"/>
      <c r="F276" s="9"/>
    </row>
    <row r="277" spans="5:6" x14ac:dyDescent="0.3">
      <c r="E277" s="9"/>
      <c r="F277" s="9"/>
    </row>
    <row r="278" spans="5:6" x14ac:dyDescent="0.3">
      <c r="E278" s="9"/>
      <c r="F278" s="9"/>
    </row>
    <row r="279" spans="5:6" x14ac:dyDescent="0.3">
      <c r="E279" s="9"/>
      <c r="F279" s="9"/>
    </row>
    <row r="280" spans="5:6" x14ac:dyDescent="0.3">
      <c r="E280" s="9"/>
      <c r="F280" s="9"/>
    </row>
    <row r="281" spans="5:6" x14ac:dyDescent="0.3">
      <c r="E281" s="9"/>
      <c r="F281" s="9"/>
    </row>
    <row r="282" spans="5:6" x14ac:dyDescent="0.3">
      <c r="E282" s="9"/>
      <c r="F282" s="9"/>
    </row>
    <row r="283" spans="5:6" x14ac:dyDescent="0.3">
      <c r="E283" s="9"/>
      <c r="F283" s="9"/>
    </row>
    <row r="284" spans="5:6" x14ac:dyDescent="0.3">
      <c r="E284" s="9"/>
      <c r="F284" s="9"/>
    </row>
    <row r="285" spans="5:6" x14ac:dyDescent="0.3">
      <c r="E285" s="9"/>
      <c r="F285" s="9"/>
    </row>
    <row r="286" spans="5:6" x14ac:dyDescent="0.3">
      <c r="E286" s="9"/>
      <c r="F286" s="9"/>
    </row>
    <row r="287" spans="5:6" x14ac:dyDescent="0.3">
      <c r="E287" s="9"/>
      <c r="F287" s="9"/>
    </row>
    <row r="288" spans="5:6" x14ac:dyDescent="0.3">
      <c r="E288" s="9"/>
      <c r="F288" s="9"/>
    </row>
    <row r="289" spans="5:6" x14ac:dyDescent="0.3">
      <c r="E289" s="9"/>
      <c r="F289" s="9"/>
    </row>
    <row r="290" spans="5:6" x14ac:dyDescent="0.3">
      <c r="E290" s="9"/>
      <c r="F290" s="9"/>
    </row>
    <row r="291" spans="5:6" x14ac:dyDescent="0.3">
      <c r="E291" s="9"/>
      <c r="F291" s="9"/>
    </row>
    <row r="292" spans="5:6" x14ac:dyDescent="0.3">
      <c r="E292" s="9"/>
      <c r="F292" s="9"/>
    </row>
    <row r="293" spans="5:6" x14ac:dyDescent="0.3">
      <c r="E293" s="9"/>
      <c r="F293" s="9"/>
    </row>
    <row r="294" spans="5:6" x14ac:dyDescent="0.3">
      <c r="E294" s="9"/>
      <c r="F294" s="9"/>
    </row>
    <row r="295" spans="5:6" x14ac:dyDescent="0.3">
      <c r="E295" s="9"/>
      <c r="F295" s="9"/>
    </row>
    <row r="296" spans="5:6" x14ac:dyDescent="0.3">
      <c r="E296" s="9"/>
      <c r="F296" s="9"/>
    </row>
    <row r="297" spans="5:6" x14ac:dyDescent="0.3">
      <c r="E297" s="9"/>
      <c r="F297" s="9"/>
    </row>
    <row r="298" spans="5:6" x14ac:dyDescent="0.3">
      <c r="E298" s="9"/>
      <c r="F298" s="9"/>
    </row>
    <row r="299" spans="5:6" x14ac:dyDescent="0.3">
      <c r="E299" s="9"/>
      <c r="F299" s="9"/>
    </row>
    <row r="300" spans="5:6" x14ac:dyDescent="0.3">
      <c r="E300" s="9"/>
      <c r="F300" s="9"/>
    </row>
    <row r="301" spans="5:6" x14ac:dyDescent="0.3">
      <c r="E301" s="9"/>
      <c r="F301" s="9"/>
    </row>
    <row r="302" spans="5:6" x14ac:dyDescent="0.3">
      <c r="E302" s="9"/>
      <c r="F302" s="9"/>
    </row>
    <row r="303" spans="5:6" x14ac:dyDescent="0.3">
      <c r="E303" s="9"/>
      <c r="F303" s="9"/>
    </row>
    <row r="304" spans="5:6" x14ac:dyDescent="0.3">
      <c r="E304" s="9"/>
      <c r="F304" s="9"/>
    </row>
    <row r="305" spans="5:6" x14ac:dyDescent="0.3">
      <c r="E305" s="9"/>
      <c r="F305" s="9"/>
    </row>
    <row r="306" spans="5:6" x14ac:dyDescent="0.3">
      <c r="E306" s="9"/>
      <c r="F306" s="9"/>
    </row>
    <row r="307" spans="5:6" x14ac:dyDescent="0.3">
      <c r="E307" s="9"/>
      <c r="F307" s="9"/>
    </row>
    <row r="308" spans="5:6" x14ac:dyDescent="0.3">
      <c r="E308" s="9"/>
      <c r="F308" s="9"/>
    </row>
    <row r="309" spans="5:6" x14ac:dyDescent="0.3">
      <c r="E309" s="9"/>
      <c r="F309" s="9"/>
    </row>
    <row r="310" spans="5:6" x14ac:dyDescent="0.3">
      <c r="E310" s="9"/>
      <c r="F310" s="9"/>
    </row>
    <row r="311" spans="5:6" x14ac:dyDescent="0.3">
      <c r="E311" s="9"/>
      <c r="F311" s="9"/>
    </row>
    <row r="312" spans="5:6" x14ac:dyDescent="0.3">
      <c r="E312" s="9"/>
      <c r="F312" s="9"/>
    </row>
    <row r="313" spans="5:6" x14ac:dyDescent="0.3">
      <c r="E313" s="9"/>
      <c r="F313" s="9"/>
    </row>
    <row r="314" spans="5:6" x14ac:dyDescent="0.3">
      <c r="E314" s="9"/>
      <c r="F314" s="9"/>
    </row>
    <row r="315" spans="5:6" x14ac:dyDescent="0.3">
      <c r="E315" s="9"/>
      <c r="F315" s="9"/>
    </row>
    <row r="316" spans="5:6" x14ac:dyDescent="0.3">
      <c r="E316" s="9"/>
      <c r="F316" s="9"/>
    </row>
    <row r="317" spans="5:6" x14ac:dyDescent="0.3">
      <c r="E317" s="9"/>
      <c r="F317" s="9"/>
    </row>
    <row r="318" spans="5:6" x14ac:dyDescent="0.3">
      <c r="E318" s="9"/>
      <c r="F318" s="9"/>
    </row>
    <row r="319" spans="5:6" x14ac:dyDescent="0.3">
      <c r="E319" s="9"/>
      <c r="F319" s="9"/>
    </row>
    <row r="320" spans="5:6" x14ac:dyDescent="0.3">
      <c r="E320" s="9"/>
      <c r="F320" s="9"/>
    </row>
    <row r="321" spans="5:6" x14ac:dyDescent="0.3">
      <c r="E321" s="9"/>
      <c r="F321" s="9"/>
    </row>
    <row r="322" spans="5:6" x14ac:dyDescent="0.3">
      <c r="E322" s="9"/>
      <c r="F322" s="9"/>
    </row>
    <row r="323" spans="5:6" x14ac:dyDescent="0.3">
      <c r="E323" s="9"/>
      <c r="F323" s="9"/>
    </row>
    <row r="324" spans="5:6" x14ac:dyDescent="0.3">
      <c r="E324" s="9"/>
      <c r="F324" s="9"/>
    </row>
    <row r="325" spans="5:6" x14ac:dyDescent="0.3">
      <c r="E325" s="9"/>
      <c r="F325" s="9"/>
    </row>
    <row r="326" spans="5:6" x14ac:dyDescent="0.3">
      <c r="E326" s="9"/>
      <c r="F326" s="9"/>
    </row>
    <row r="327" spans="5:6" x14ac:dyDescent="0.3">
      <c r="E327" s="9"/>
      <c r="F327" s="9"/>
    </row>
    <row r="328" spans="5:6" x14ac:dyDescent="0.3">
      <c r="E328" s="9"/>
      <c r="F328" s="9"/>
    </row>
    <row r="329" spans="5:6" x14ac:dyDescent="0.3">
      <c r="E329" s="9"/>
      <c r="F329" s="9"/>
    </row>
    <row r="330" spans="5:6" x14ac:dyDescent="0.3">
      <c r="E330" s="9"/>
      <c r="F330" s="9"/>
    </row>
    <row r="331" spans="5:6" x14ac:dyDescent="0.3">
      <c r="E331" s="9"/>
      <c r="F331" s="9"/>
    </row>
    <row r="332" spans="5:6" x14ac:dyDescent="0.3">
      <c r="E332" s="9"/>
      <c r="F332" s="9"/>
    </row>
    <row r="333" spans="5:6" x14ac:dyDescent="0.3">
      <c r="E333" s="9"/>
      <c r="F333" s="9"/>
    </row>
    <row r="334" spans="5:6" x14ac:dyDescent="0.3">
      <c r="E334" s="9"/>
      <c r="F334" s="9"/>
    </row>
    <row r="335" spans="5:6" x14ac:dyDescent="0.3">
      <c r="E335" s="9"/>
      <c r="F335" s="9"/>
    </row>
    <row r="336" spans="5:6" x14ac:dyDescent="0.3">
      <c r="E336" s="9"/>
      <c r="F336" s="9"/>
    </row>
    <row r="337" spans="5:6" x14ac:dyDescent="0.3">
      <c r="E337" s="9"/>
      <c r="F337" s="9"/>
    </row>
    <row r="338" spans="5:6" x14ac:dyDescent="0.3">
      <c r="E338" s="9"/>
      <c r="F338" s="9"/>
    </row>
    <row r="339" spans="5:6" x14ac:dyDescent="0.3">
      <c r="E339" s="9"/>
      <c r="F339" s="9"/>
    </row>
    <row r="340" spans="5:6" x14ac:dyDescent="0.3">
      <c r="E340" s="9"/>
      <c r="F340" s="9"/>
    </row>
    <row r="341" spans="5:6" x14ac:dyDescent="0.3">
      <c r="E341" s="9"/>
      <c r="F341" s="9"/>
    </row>
    <row r="342" spans="5:6" x14ac:dyDescent="0.3">
      <c r="E342" s="9"/>
      <c r="F342" s="9"/>
    </row>
    <row r="343" spans="5:6" x14ac:dyDescent="0.3">
      <c r="E343" s="9"/>
      <c r="F343" s="9"/>
    </row>
    <row r="344" spans="5:6" x14ac:dyDescent="0.3">
      <c r="E344" s="9"/>
      <c r="F344" s="9"/>
    </row>
    <row r="345" spans="5:6" x14ac:dyDescent="0.3">
      <c r="E345" s="9"/>
      <c r="F345" s="9"/>
    </row>
    <row r="346" spans="5:6" x14ac:dyDescent="0.3">
      <c r="E346" s="9"/>
      <c r="F346" s="9"/>
    </row>
    <row r="347" spans="5:6" x14ac:dyDescent="0.3">
      <c r="E347" s="9"/>
      <c r="F347" s="9"/>
    </row>
    <row r="348" spans="5:6" x14ac:dyDescent="0.3">
      <c r="E348" s="9"/>
      <c r="F348" s="9"/>
    </row>
    <row r="349" spans="5:6" x14ac:dyDescent="0.3">
      <c r="E349" s="9"/>
      <c r="F349" s="9"/>
    </row>
    <row r="350" spans="5:6" x14ac:dyDescent="0.3">
      <c r="E350" s="9"/>
      <c r="F350" s="9"/>
    </row>
    <row r="351" spans="5:6" x14ac:dyDescent="0.3">
      <c r="E351" s="9"/>
      <c r="F351" s="9"/>
    </row>
    <row r="352" spans="5:6" x14ac:dyDescent="0.3">
      <c r="E352" s="9"/>
      <c r="F352" s="9"/>
    </row>
    <row r="353" spans="5:6" x14ac:dyDescent="0.3">
      <c r="E353" s="9"/>
      <c r="F353" s="9"/>
    </row>
    <row r="354" spans="5:6" x14ac:dyDescent="0.3">
      <c r="E354" s="9"/>
      <c r="F354" s="9"/>
    </row>
    <row r="355" spans="5:6" x14ac:dyDescent="0.3">
      <c r="E355" s="9"/>
      <c r="F355" s="9"/>
    </row>
    <row r="356" spans="5:6" x14ac:dyDescent="0.3">
      <c r="E356" s="9"/>
      <c r="F356" s="9"/>
    </row>
    <row r="357" spans="5:6" x14ac:dyDescent="0.3">
      <c r="E357" s="9"/>
      <c r="F357" s="9"/>
    </row>
    <row r="358" spans="5:6" x14ac:dyDescent="0.3">
      <c r="E358" s="9"/>
      <c r="F358" s="9"/>
    </row>
    <row r="359" spans="5:6" x14ac:dyDescent="0.3">
      <c r="E359" s="9"/>
      <c r="F359" s="9"/>
    </row>
    <row r="360" spans="5:6" x14ac:dyDescent="0.3">
      <c r="E360" s="9"/>
      <c r="F360" s="9"/>
    </row>
    <row r="361" spans="5:6" x14ac:dyDescent="0.3">
      <c r="E361" s="9"/>
      <c r="F361" s="9"/>
    </row>
    <row r="362" spans="5:6" x14ac:dyDescent="0.3">
      <c r="E362" s="9"/>
      <c r="F362" s="9"/>
    </row>
    <row r="363" spans="5:6" x14ac:dyDescent="0.3">
      <c r="E363" s="9"/>
      <c r="F363" s="9"/>
    </row>
    <row r="364" spans="5:6" x14ac:dyDescent="0.3">
      <c r="E364" s="9"/>
      <c r="F364" s="9"/>
    </row>
    <row r="365" spans="5:6" x14ac:dyDescent="0.3">
      <c r="E365" s="9"/>
      <c r="F365" s="9"/>
    </row>
    <row r="366" spans="5:6" x14ac:dyDescent="0.3">
      <c r="E366" s="9"/>
      <c r="F366" s="9"/>
    </row>
    <row r="367" spans="5:6" x14ac:dyDescent="0.3">
      <c r="E367" s="9"/>
      <c r="F367" s="9"/>
    </row>
    <row r="368" spans="5:6" x14ac:dyDescent="0.3">
      <c r="E368" s="9"/>
      <c r="F368" s="9"/>
    </row>
    <row r="369" spans="5:6" x14ac:dyDescent="0.3">
      <c r="E369" s="9"/>
      <c r="F369" s="9"/>
    </row>
    <row r="370" spans="5:6" x14ac:dyDescent="0.3">
      <c r="E370" s="9"/>
      <c r="F370" s="9"/>
    </row>
    <row r="371" spans="5:6" x14ac:dyDescent="0.3">
      <c r="E371" s="9"/>
      <c r="F371" s="9"/>
    </row>
    <row r="372" spans="5:6" x14ac:dyDescent="0.3">
      <c r="E372" s="9"/>
      <c r="F372" s="9"/>
    </row>
    <row r="373" spans="5:6" x14ac:dyDescent="0.3">
      <c r="E373" s="9"/>
      <c r="F373" s="9"/>
    </row>
    <row r="374" spans="5:6" x14ac:dyDescent="0.3">
      <c r="E374" s="9"/>
      <c r="F374" s="9"/>
    </row>
    <row r="375" spans="5:6" x14ac:dyDescent="0.3">
      <c r="E375" s="9"/>
      <c r="F375" s="9"/>
    </row>
    <row r="376" spans="5:6" x14ac:dyDescent="0.3">
      <c r="E376" s="9"/>
      <c r="F376" s="9"/>
    </row>
    <row r="377" spans="5:6" x14ac:dyDescent="0.3">
      <c r="E377" s="9"/>
      <c r="F377" s="9"/>
    </row>
    <row r="378" spans="5:6" x14ac:dyDescent="0.3">
      <c r="E378" s="9"/>
      <c r="F378" s="9"/>
    </row>
    <row r="379" spans="5:6" x14ac:dyDescent="0.3">
      <c r="E379" s="9"/>
      <c r="F379" s="9"/>
    </row>
    <row r="380" spans="5:6" x14ac:dyDescent="0.3">
      <c r="E380" s="9"/>
      <c r="F380" s="9"/>
    </row>
    <row r="381" spans="5:6" x14ac:dyDescent="0.3">
      <c r="E381" s="9"/>
      <c r="F381" s="9"/>
    </row>
    <row r="382" spans="5:6" x14ac:dyDescent="0.3">
      <c r="E382" s="9"/>
      <c r="F382" s="9"/>
    </row>
    <row r="383" spans="5:6" x14ac:dyDescent="0.3">
      <c r="E383" s="9"/>
      <c r="F383" s="9"/>
    </row>
    <row r="384" spans="5:6" x14ac:dyDescent="0.3">
      <c r="E384" s="9"/>
      <c r="F384" s="9"/>
    </row>
    <row r="385" spans="5:6" x14ac:dyDescent="0.3">
      <c r="E385" s="9"/>
      <c r="F385" s="9"/>
    </row>
    <row r="386" spans="5:6" x14ac:dyDescent="0.3">
      <c r="E386" s="9"/>
      <c r="F386" s="9"/>
    </row>
    <row r="387" spans="5:6" x14ac:dyDescent="0.3">
      <c r="E387" s="9"/>
      <c r="F387" s="9"/>
    </row>
    <row r="388" spans="5:6" x14ac:dyDescent="0.3">
      <c r="E388" s="9"/>
      <c r="F388" s="9"/>
    </row>
    <row r="389" spans="5:6" x14ac:dyDescent="0.3">
      <c r="E389" s="9"/>
      <c r="F389" s="9"/>
    </row>
    <row r="390" spans="5:6" x14ac:dyDescent="0.3">
      <c r="E390" s="9"/>
      <c r="F390" s="9"/>
    </row>
    <row r="391" spans="5:6" x14ac:dyDescent="0.3">
      <c r="E391" s="9"/>
      <c r="F391" s="9"/>
    </row>
    <row r="392" spans="5:6" x14ac:dyDescent="0.3">
      <c r="E392" s="9"/>
      <c r="F392" s="9"/>
    </row>
    <row r="393" spans="5:6" x14ac:dyDescent="0.3">
      <c r="E393" s="9"/>
      <c r="F393" s="9"/>
    </row>
    <row r="394" spans="5:6" x14ac:dyDescent="0.3">
      <c r="E394" s="9"/>
      <c r="F394" s="9"/>
    </row>
    <row r="395" spans="5:6" x14ac:dyDescent="0.3">
      <c r="E395" s="9"/>
      <c r="F395" s="9"/>
    </row>
    <row r="396" spans="5:6" x14ac:dyDescent="0.3">
      <c r="E396" s="9"/>
      <c r="F396" s="9"/>
    </row>
    <row r="397" spans="5:6" x14ac:dyDescent="0.3">
      <c r="E397" s="9"/>
      <c r="F397" s="9"/>
    </row>
    <row r="398" spans="5:6" x14ac:dyDescent="0.3">
      <c r="E398" s="9"/>
      <c r="F398" s="9"/>
    </row>
    <row r="399" spans="5:6" x14ac:dyDescent="0.3">
      <c r="E399" s="9"/>
      <c r="F399" s="9"/>
    </row>
    <row r="400" spans="5:6" x14ac:dyDescent="0.3">
      <c r="E400" s="9"/>
      <c r="F400" s="9"/>
    </row>
    <row r="401" spans="5:6" x14ac:dyDescent="0.3">
      <c r="E401" s="9"/>
      <c r="F401" s="9"/>
    </row>
    <row r="402" spans="5:6" x14ac:dyDescent="0.3">
      <c r="E402" s="9"/>
      <c r="F402" s="9"/>
    </row>
    <row r="403" spans="5:6" x14ac:dyDescent="0.3">
      <c r="E403" s="9"/>
      <c r="F403" s="9"/>
    </row>
    <row r="404" spans="5:6" x14ac:dyDescent="0.3">
      <c r="E404" s="9"/>
      <c r="F404" s="9"/>
    </row>
    <row r="405" spans="5:6" x14ac:dyDescent="0.3">
      <c r="E405" s="9"/>
      <c r="F405" s="9"/>
    </row>
    <row r="406" spans="5:6" x14ac:dyDescent="0.3">
      <c r="E406" s="9"/>
      <c r="F406" s="9"/>
    </row>
    <row r="407" spans="5:6" x14ac:dyDescent="0.3">
      <c r="E407" s="9"/>
      <c r="F407" s="9"/>
    </row>
    <row r="408" spans="5:6" x14ac:dyDescent="0.3">
      <c r="E408" s="9"/>
      <c r="F408" s="9"/>
    </row>
    <row r="409" spans="5:6" x14ac:dyDescent="0.3">
      <c r="E409" s="9"/>
      <c r="F409" s="9"/>
    </row>
    <row r="410" spans="5:6" x14ac:dyDescent="0.3">
      <c r="E410" s="9"/>
      <c r="F410" s="9"/>
    </row>
    <row r="411" spans="5:6" x14ac:dyDescent="0.3">
      <c r="E411" s="9"/>
      <c r="F411" s="9"/>
    </row>
    <row r="412" spans="5:6" x14ac:dyDescent="0.3">
      <c r="E412" s="9"/>
      <c r="F412" s="9"/>
    </row>
    <row r="413" spans="5:6" x14ac:dyDescent="0.3">
      <c r="E413" s="9"/>
      <c r="F413" s="9"/>
    </row>
    <row r="414" spans="5:6" x14ac:dyDescent="0.3">
      <c r="E414" s="9"/>
      <c r="F414" s="9"/>
    </row>
    <row r="415" spans="5:6" x14ac:dyDescent="0.3">
      <c r="E415" s="9"/>
      <c r="F415" s="9"/>
    </row>
    <row r="416" spans="5:6" x14ac:dyDescent="0.3">
      <c r="E416" s="9"/>
      <c r="F416" s="9"/>
    </row>
    <row r="417" spans="5:6" x14ac:dyDescent="0.3">
      <c r="E417" s="9"/>
      <c r="F417" s="9"/>
    </row>
    <row r="418" spans="5:6" x14ac:dyDescent="0.3">
      <c r="E418" s="9"/>
      <c r="F418" s="9"/>
    </row>
    <row r="419" spans="5:6" x14ac:dyDescent="0.3">
      <c r="E419" s="9"/>
      <c r="F419" s="9"/>
    </row>
    <row r="420" spans="5:6" x14ac:dyDescent="0.3">
      <c r="E420" s="9"/>
      <c r="F420" s="9"/>
    </row>
    <row r="421" spans="5:6" x14ac:dyDescent="0.3">
      <c r="E421" s="9"/>
      <c r="F421" s="9"/>
    </row>
    <row r="422" spans="5:6" x14ac:dyDescent="0.3">
      <c r="E422" s="9"/>
      <c r="F422" s="9"/>
    </row>
    <row r="423" spans="5:6" x14ac:dyDescent="0.3">
      <c r="E423" s="9"/>
      <c r="F423" s="9"/>
    </row>
    <row r="424" spans="5:6" x14ac:dyDescent="0.3">
      <c r="E424" s="9"/>
      <c r="F424" s="9"/>
    </row>
    <row r="425" spans="5:6" x14ac:dyDescent="0.3">
      <c r="E425" s="9"/>
      <c r="F425" s="9"/>
    </row>
    <row r="426" spans="5:6" x14ac:dyDescent="0.3">
      <c r="E426" s="9"/>
      <c r="F426" s="9"/>
    </row>
    <row r="427" spans="5:6" x14ac:dyDescent="0.3">
      <c r="E427" s="9"/>
      <c r="F427" s="9"/>
    </row>
    <row r="428" spans="5:6" x14ac:dyDescent="0.3">
      <c r="E428" s="9"/>
      <c r="F428" s="9"/>
    </row>
    <row r="429" spans="5:6" x14ac:dyDescent="0.3">
      <c r="E429" s="9"/>
      <c r="F429" s="9"/>
    </row>
    <row r="430" spans="5:6" x14ac:dyDescent="0.3">
      <c r="E430" s="9"/>
      <c r="F430" s="9"/>
    </row>
    <row r="431" spans="5:6" x14ac:dyDescent="0.3">
      <c r="E431" s="9"/>
      <c r="F431" s="9"/>
    </row>
    <row r="432" spans="5:6" x14ac:dyDescent="0.3">
      <c r="E432" s="9"/>
      <c r="F432" s="9"/>
    </row>
    <row r="433" spans="5:6" x14ac:dyDescent="0.3">
      <c r="E433" s="9"/>
      <c r="F433" s="9"/>
    </row>
    <row r="434" spans="5:6" x14ac:dyDescent="0.3">
      <c r="E434" s="9"/>
      <c r="F434" s="9"/>
    </row>
    <row r="435" spans="5:6" x14ac:dyDescent="0.3">
      <c r="E435" s="9"/>
      <c r="F435" s="9"/>
    </row>
    <row r="436" spans="5:6" x14ac:dyDescent="0.3">
      <c r="E436" s="9"/>
      <c r="F436" s="9"/>
    </row>
    <row r="437" spans="5:6" x14ac:dyDescent="0.3">
      <c r="E437" s="9"/>
      <c r="F437" s="9"/>
    </row>
    <row r="438" spans="5:6" x14ac:dyDescent="0.3">
      <c r="E438" s="9"/>
      <c r="F438" s="9"/>
    </row>
    <row r="439" spans="5:6" x14ac:dyDescent="0.3">
      <c r="E439" s="9"/>
      <c r="F439" s="9"/>
    </row>
    <row r="440" spans="5:6" x14ac:dyDescent="0.3">
      <c r="E440" s="9"/>
      <c r="F440" s="9"/>
    </row>
    <row r="441" spans="5:6" x14ac:dyDescent="0.3">
      <c r="E441" s="9"/>
      <c r="F441" s="9"/>
    </row>
    <row r="442" spans="5:6" x14ac:dyDescent="0.3">
      <c r="E442" s="9"/>
      <c r="F442" s="9"/>
    </row>
    <row r="443" spans="5:6" x14ac:dyDescent="0.3">
      <c r="E443" s="9"/>
      <c r="F443" s="9"/>
    </row>
    <row r="444" spans="5:6" x14ac:dyDescent="0.3">
      <c r="E444" s="9"/>
      <c r="F444" s="9"/>
    </row>
    <row r="445" spans="5:6" x14ac:dyDescent="0.3">
      <c r="E445" s="9"/>
      <c r="F445" s="9"/>
    </row>
    <row r="446" spans="5:6" x14ac:dyDescent="0.3">
      <c r="E446" s="9"/>
      <c r="F446" s="9"/>
    </row>
    <row r="447" spans="5:6" x14ac:dyDescent="0.3">
      <c r="E447" s="9"/>
      <c r="F447" s="9"/>
    </row>
    <row r="448" spans="5:6" x14ac:dyDescent="0.3">
      <c r="E448" s="9"/>
      <c r="F448" s="9"/>
    </row>
    <row r="449" spans="5:6" x14ac:dyDescent="0.3">
      <c r="E449" s="9"/>
      <c r="F449" s="9"/>
    </row>
    <row r="450" spans="5:6" x14ac:dyDescent="0.3">
      <c r="E450" s="9"/>
      <c r="F450" s="9"/>
    </row>
    <row r="451" spans="5:6" x14ac:dyDescent="0.3">
      <c r="E451" s="9"/>
      <c r="F451" s="9"/>
    </row>
    <row r="452" spans="5:6" x14ac:dyDescent="0.3">
      <c r="E452" s="9"/>
      <c r="F452" s="9"/>
    </row>
    <row r="453" spans="5:6" x14ac:dyDescent="0.3">
      <c r="E453" s="9"/>
      <c r="F453" s="9"/>
    </row>
    <row r="454" spans="5:6" x14ac:dyDescent="0.3">
      <c r="E454" s="9"/>
      <c r="F454" s="9"/>
    </row>
    <row r="455" spans="5:6" x14ac:dyDescent="0.3">
      <c r="E455" s="9"/>
      <c r="F455" s="9"/>
    </row>
    <row r="456" spans="5:6" x14ac:dyDescent="0.3">
      <c r="E456" s="9"/>
      <c r="F456" s="9"/>
    </row>
    <row r="457" spans="5:6" x14ac:dyDescent="0.3">
      <c r="E457" s="9"/>
      <c r="F457" s="9"/>
    </row>
    <row r="458" spans="5:6" x14ac:dyDescent="0.3">
      <c r="E458" s="9"/>
      <c r="F458" s="9"/>
    </row>
    <row r="459" spans="5:6" x14ac:dyDescent="0.3">
      <c r="E459" s="9"/>
      <c r="F459" s="9"/>
    </row>
    <row r="460" spans="5:6" x14ac:dyDescent="0.3">
      <c r="E460" s="9"/>
      <c r="F460" s="9"/>
    </row>
    <row r="461" spans="5:6" x14ac:dyDescent="0.3">
      <c r="E461" s="9"/>
      <c r="F461" s="9"/>
    </row>
    <row r="462" spans="5:6" x14ac:dyDescent="0.3">
      <c r="E462" s="9"/>
      <c r="F462" s="9"/>
    </row>
    <row r="463" spans="5:6" x14ac:dyDescent="0.3">
      <c r="E463" s="9"/>
      <c r="F463" s="9"/>
    </row>
    <row r="464" spans="5:6" x14ac:dyDescent="0.3">
      <c r="E464" s="9"/>
      <c r="F464" s="9"/>
    </row>
    <row r="465" spans="5:6" x14ac:dyDescent="0.3">
      <c r="E465" s="9"/>
      <c r="F465" s="9"/>
    </row>
    <row r="466" spans="5:6" x14ac:dyDescent="0.3">
      <c r="E466" s="9"/>
      <c r="F466" s="9"/>
    </row>
    <row r="467" spans="5:6" x14ac:dyDescent="0.3">
      <c r="E467" s="9"/>
      <c r="F467" s="9"/>
    </row>
    <row r="468" spans="5:6" x14ac:dyDescent="0.3">
      <c r="E468" s="9"/>
      <c r="F468" s="9"/>
    </row>
    <row r="469" spans="5:6" x14ac:dyDescent="0.3">
      <c r="E469" s="9"/>
      <c r="F469" s="9"/>
    </row>
    <row r="470" spans="5:6" x14ac:dyDescent="0.3">
      <c r="E470" s="9"/>
      <c r="F470" s="9"/>
    </row>
    <row r="471" spans="5:6" x14ac:dyDescent="0.3">
      <c r="E471" s="9"/>
      <c r="F471" s="9"/>
    </row>
    <row r="472" spans="5:6" x14ac:dyDescent="0.3">
      <c r="E472" s="9"/>
      <c r="F472" s="9"/>
    </row>
    <row r="473" spans="5:6" x14ac:dyDescent="0.3">
      <c r="E473" s="9"/>
      <c r="F473" s="9"/>
    </row>
    <row r="474" spans="5:6" x14ac:dyDescent="0.3">
      <c r="E474" s="9"/>
      <c r="F474" s="9"/>
    </row>
    <row r="475" spans="5:6" x14ac:dyDescent="0.3">
      <c r="E475" s="9"/>
      <c r="F475" s="9"/>
    </row>
    <row r="476" spans="5:6" x14ac:dyDescent="0.3">
      <c r="E476" s="9"/>
      <c r="F476" s="9"/>
    </row>
    <row r="477" spans="5:6" x14ac:dyDescent="0.3">
      <c r="E477" s="9"/>
      <c r="F477" s="9"/>
    </row>
    <row r="478" spans="5:6" x14ac:dyDescent="0.3">
      <c r="E478" s="9"/>
      <c r="F478" s="9"/>
    </row>
    <row r="479" spans="5:6" x14ac:dyDescent="0.3">
      <c r="E479" s="9"/>
      <c r="F479" s="9"/>
    </row>
    <row r="480" spans="5:6" x14ac:dyDescent="0.3">
      <c r="E480" s="9"/>
      <c r="F480" s="9"/>
    </row>
  </sheetData>
  <mergeCells count="2">
    <mergeCell ref="A5:B5"/>
    <mergeCell ref="D5:F5"/>
  </mergeCells>
  <phoneticPr fontId="4" type="noConversion"/>
  <dataValidations count="1">
    <dataValidation type="list" allowBlank="1" showErrorMessage="1" promptTitle="Month Selection" prompt="Pick the month you would like to highlight" sqref="B3" xr:uid="{DAD88971-BD56-401D-9EDD-2709DDF34D5F}">
      <formula1>_xlfn.ANCHORARRAY($AB$1)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promptTitle="Sales Rep Selection" prompt="Select the Sales Rep's Name you would like to highlight" xr:uid="{192ABC8E-64F1-48B0-AA3B-96228D2EF876}">
          <x14:formula1>
            <xm:f>Data!$S$3:$S$6</xm:f>
          </x14:formula1>
          <xm:sqref>A3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Data</vt:lpstr>
      <vt:lpstr>Dashboard</vt:lpstr>
      <vt:lpstr>Table_Products</vt:lpstr>
      <vt:lpstr>Table_Sales</vt:lpstr>
      <vt:lpstr>Table_Sales_Rep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Theresia Kitele</dc:creator>
  <cp:lastModifiedBy>Tessa K</cp:lastModifiedBy>
  <dcterms:created xsi:type="dcterms:W3CDTF">2025-10-10T10:33:56Z</dcterms:created>
  <dcterms:modified xsi:type="dcterms:W3CDTF">2025-11-21T18:27:25Z</dcterms:modified>
</cp:coreProperties>
</file>